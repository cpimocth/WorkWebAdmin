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Sheet1!$A$2:$Z$474</definedName>
  </definedNames>
  <calcPr/>
</workbook>
</file>

<file path=xl/sharedStrings.xml><?xml version="1.0" encoding="utf-8"?>
<sst xmlns="http://schemas.openxmlformats.org/spreadsheetml/2006/main" count="8" uniqueCount="8">
  <si>
    <t>CJ EXPRESS</t>
  </si>
  <si>
    <t>รหัสหมวด</t>
  </si>
  <si>
    <t>รหัสรายการ
COMMODITY_CODE</t>
  </si>
  <si>
    <t>ชื่อรายการ</t>
  </si>
  <si>
    <t>ชื่อสินค้า CJ</t>
  </si>
  <si>
    <t>ราคาปกติ
(ใส่ตัวเลขเท่านั้น)</t>
  </si>
  <si>
    <t>ราคาโปร
(ใส่ตัวเลขเท่านั้น)</t>
  </si>
  <si>
    <t>ภาวะ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</si>
</sst>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b/>
      <sz val="14.0"/>
      <color rgb="FFFFFFFF"/>
      <name val="Arial"/>
      <scheme val="minor"/>
    </font>
    <font>
      <b/>
      <sz val="14.0"/>
      <color rgb="FFFFFFFF"/>
      <name val="Arial"/>
    </font>
    <font>
      <color theme="1"/>
      <name val="Arial"/>
      <scheme val="minor"/>
    </font>
    <font>
      <b/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86C"/>
        <bgColor rgb="FF1F486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/>
    </xf>
    <xf borderId="0" fillId="2" fontId="3" numFmtId="0" xfId="0" applyAlignment="1" applyFill="1" applyFont="1">
      <alignment horizontal="center" readingOrder="0" shrinkToFit="0" vertical="bottom" wrapText="0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hidden="1" min="1" max="1" width="9.25"/>
    <col customWidth="1" min="2" max="2" width="15.88"/>
    <col customWidth="1" min="3" max="3" width="67.63"/>
    <col hidden="1" min="4" max="6" width="12.63"/>
    <col customWidth="1" hidden="1" min="7" max="7" width="34.63"/>
    <col customWidth="1" min="10" max="10" width="35.25"/>
  </cols>
  <sheetData>
    <row r="1">
      <c r="A1" s="1"/>
      <c r="B1" s="2"/>
      <c r="C1" s="2"/>
      <c r="D1" s="3"/>
      <c r="E1" s="3"/>
      <c r="F1" s="3"/>
      <c r="G1" s="2"/>
      <c r="H1" s="4" t="s">
        <v>0</v>
      </c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B2" s="2" t="s">
        <v>2</v>
      </c>
      <c r="C2" s="2" t="s">
        <v>3</v>
      </c>
      <c r="D2" s="3"/>
      <c r="E2" s="3"/>
      <c r="F2" s="3"/>
      <c r="G2" s="2" t="s">
        <v>4</v>
      </c>
      <c r="H2" s="2" t="s">
        <v>5</v>
      </c>
      <c r="I2" s="2" t="s">
        <v>6</v>
      </c>
      <c r="J2" s="2" t="s">
        <v>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idden="1">
      <c r="A3" s="5" t="str">
        <f>IFERROR(__xludf.DUMMYFUNCTION("QUERY(IMPORTRANGE(""https://docs.google.com/spreadsheets/d/1P7ugd8rj7OIOEdCsUILu-fWzRPJx1TryLjXE5ilWykA/edit"", ""CJ!B2:K""), ""SELECT * WHERE Col7 IS NOT NULL"", 0)"),"")</f>
        <v/>
      </c>
      <c r="B3" s="6" t="str">
        <f>IFERROR(__xludf.DUMMYFUNCTION("""COMPUTED_VALUE"""),"COMMODITY_CODE")</f>
        <v>COMMODITY_CODE</v>
      </c>
      <c r="C3" s="5" t="str">
        <f>IFERROR(__xludf.DUMMYFUNCTION("""COMPUTED_VALUE"""),"DESCRIPTION")</f>
        <v>DESCRIPTION</v>
      </c>
      <c r="D3" s="5"/>
      <c r="E3" s="5"/>
      <c r="F3" s="5"/>
      <c r="G3" s="5" t="str">
        <f>IFERROR(__xludf.DUMMYFUNCTION("""COMPUTED_VALUE"""),"ProductName")</f>
        <v>ProductName</v>
      </c>
      <c r="H3" s="7"/>
      <c r="I3" s="7"/>
      <c r="J3" s="5" t="str">
        <f>IFERROR(__xludf.DUMMYFUNCTION("""COMPUTED_VALUE"""),"Remarks")</f>
        <v>Remarks</v>
      </c>
    </row>
    <row r="4">
      <c r="A4" s="5">
        <f>IFERROR(__xludf.DUMMYFUNCTION("""COMPUTED_VALUE"""),1111001.0)</f>
        <v>1111001</v>
      </c>
      <c r="B4" s="6" t="str">
        <f>IFERROR(__xludf.DUMMYFUNCTION("""COMPUTED_VALUE"""),"1111001121014403")</f>
        <v>1111001121014403</v>
      </c>
      <c r="C4" s="5" t="str">
        <f>IFERROR(__xludf.DUMMYFUNCTION("""COMPUTED_VALUE"""),"ข้าวสารเจ้า ข้าวหอมมะลิ 100 % (คัดพิเศษ)\บรรจุถุง 5 กก.\ตราหงษ์ทอง")</f>
        <v>ข้าวสารเจ้า ข้าวหอมมะลิ 100 % (คัดพิเศษ)\บรรจุถุง 5 กก.\ตราหงษ์ทอง</v>
      </c>
      <c r="D4" s="5">
        <f>IFERROR(__xludf.DUMMYFUNCTION("""COMPUTED_VALUE"""),1.0)</f>
        <v>1</v>
      </c>
      <c r="E4" s="5">
        <f>IFERROR(__xludf.DUMMYFUNCTION("""COMPUTED_VALUE"""),2.0)</f>
        <v>2</v>
      </c>
      <c r="F4" s="5"/>
      <c r="G4" s="5" t="str">
        <f>IFERROR(__xludf.DUMMYFUNCTION("""COMPUTED_VALUE"""),"หงษ์ทองข้าวหอมมะลิคัดพิเศษ100% 5kg")</f>
        <v>หงษ์ทองข้าวหอมมะลิคัดพิเศษ100% 5kg</v>
      </c>
      <c r="H4" s="7">
        <f>IFERROR(__xludf.DUMMYFUNCTION("""COMPUTED_VALUE"""),289.0)</f>
        <v>289</v>
      </c>
      <c r="I4" s="7">
        <f>IFERROR(__xludf.DUMMYFUNCTION("""COMPUTED_VALUE"""),259.0)</f>
        <v>259</v>
      </c>
      <c r="J4" s="5" t="str">
        <f>IFERROR(__xludf.DUMMYFUNCTION("""COMPUTED_VALUE"""),"PROMOTION MAIL (รอบ 25 ก.ย. - 24 ต.ค. 69)")</f>
        <v>PROMOTION MAIL (รอบ 25 ก.ย. - 24 ต.ค. 69)</v>
      </c>
    </row>
    <row r="5">
      <c r="A5" s="5">
        <f>IFERROR(__xludf.DUMMYFUNCTION("""COMPUTED_VALUE"""),1111001.0)</f>
        <v>1111001</v>
      </c>
      <c r="B5" s="6" t="str">
        <f>IFERROR(__xludf.DUMMYFUNCTION("""COMPUTED_VALUE"""),"1111001121015901")</f>
        <v>1111001121015901</v>
      </c>
      <c r="C5" s="5" t="str">
        <f>IFERROR(__xludf.DUMMYFUNCTION("""COMPUTED_VALUE"""),"ข้าวสารเจ้า ข้าวหอมมะลิชั้น 100% \บรรจุถุง 5 กก.\ตรา พนมรุ้ง")</f>
        <v>ข้าวสารเจ้า ข้าวหอมมะลิชั้น 100% \บรรจุถุง 5 กก.\ตรา พนมรุ้ง</v>
      </c>
      <c r="D5" s="5">
        <f>IFERROR(__xludf.DUMMYFUNCTION("""COMPUTED_VALUE"""),1.0)</f>
        <v>1</v>
      </c>
      <c r="E5" s="5">
        <f>IFERROR(__xludf.DUMMYFUNCTION("""COMPUTED_VALUE"""),3.0)</f>
        <v>3</v>
      </c>
      <c r="F5" s="5"/>
      <c r="G5" s="5" t="str">
        <f>IFERROR(__xludf.DUMMYFUNCTION("""COMPUTED_VALUE"""),"พนมรุ้งข้าวขาวหอมมะลิ100% 5kg")</f>
        <v>พนมรุ้งข้าวขาวหอมมะลิ100% 5kg</v>
      </c>
      <c r="H5" s="7">
        <f>IFERROR(__xludf.DUMMYFUNCTION("""COMPUTED_VALUE"""),173.0)</f>
        <v>173</v>
      </c>
      <c r="I5" s="7"/>
      <c r="J5" s="5"/>
    </row>
    <row r="6">
      <c r="A6" s="5">
        <f>IFERROR(__xludf.DUMMYFUNCTION("""COMPUTED_VALUE"""),1111001.0)</f>
        <v>1111001</v>
      </c>
      <c r="B6" s="6" t="str">
        <f>IFERROR(__xludf.DUMMYFUNCTION("""COMPUTED_VALUE"""),"1111001311011702")</f>
        <v>1111001311011702</v>
      </c>
      <c r="C6" s="5" t="str">
        <f>IFERROR(__xludf.DUMMYFUNCTION("""COMPUTED_VALUE"""),"ข้าวสารเจ้า ข้าวทั่วไป (ข้าวขาวคัดพิเศษ) 100% \บรรจุถุง 5 กก.\ตราข้าวแสนดี")</f>
        <v>ข้าวสารเจ้า ข้าวทั่วไป (ข้าวขาวคัดพิเศษ) 100% \บรรจุถุง 5 กก.\ตราข้าวแสนดี</v>
      </c>
      <c r="D6" s="5">
        <f>IFERROR(__xludf.DUMMYFUNCTION("""COMPUTED_VALUE"""),1.0)</f>
        <v>1</v>
      </c>
      <c r="E6" s="5">
        <f>IFERROR(__xludf.DUMMYFUNCTION("""COMPUTED_VALUE"""),4.0)</f>
        <v>4</v>
      </c>
      <c r="F6" s="5">
        <f>IFERROR(__xludf.DUMMYFUNCTION("""COMPUTED_VALUE"""),8.851042220053E12)</f>
        <v>8851042220053</v>
      </c>
      <c r="G6" s="5" t="str">
        <f>IFERROR(__xludf.DUMMYFUNCTION("""COMPUTED_VALUE"""),"แสนดีข้าวขาวคัดพิเศษ100% 5kg")</f>
        <v>แสนดีข้าวขาวคัดพิเศษ100% 5kg</v>
      </c>
      <c r="H6" s="7">
        <f>IFERROR(__xludf.DUMMYFUNCTION("""COMPUTED_VALUE"""),139.0)</f>
        <v>139</v>
      </c>
      <c r="I6" s="7">
        <f>IFERROR(__xludf.DUMMYFUNCTION("""COMPUTED_VALUE"""),115.0)</f>
        <v>115</v>
      </c>
      <c r="J6" s="5" t="str">
        <f>IFERROR(__xludf.DUMMYFUNCTION("""COMPUTED_VALUE"""),"PROMOTION MAIL (รอบ 25 ก.ย. - 24 ต.ค. 69)")</f>
        <v>PROMOTION MAIL (รอบ 25 ก.ย. - 24 ต.ค. 69)</v>
      </c>
    </row>
    <row r="7">
      <c r="A7" s="5">
        <f>IFERROR(__xludf.DUMMYFUNCTION("""COMPUTED_VALUE"""),1111001.0)</f>
        <v>1111001</v>
      </c>
      <c r="B7" s="6" t="str">
        <f>IFERROR(__xludf.DUMMYFUNCTION("""COMPUTED_VALUE"""),"1111001311013201")</f>
        <v>1111001311013201</v>
      </c>
      <c r="C7" s="5" t="str">
        <f>IFERROR(__xludf.DUMMYFUNCTION("""COMPUTED_VALUE"""),"ข้าวสารเจ้า ข้าวขาวทั่วไป (ข้าวเสาไห้) \บรรจุถุง 5 กก.\ตราเบญจรงค์")</f>
        <v>ข้าวสารเจ้า ข้าวขาวทั่วไป (ข้าวเสาไห้) \บรรจุถุง 5 กก.\ตราเบญจรงค์</v>
      </c>
      <c r="D7" s="5">
        <f>IFERROR(__xludf.DUMMYFUNCTION("""COMPUTED_VALUE"""),1.0)</f>
        <v>1</v>
      </c>
      <c r="E7" s="5">
        <f>IFERROR(__xludf.DUMMYFUNCTION("""COMPUTED_VALUE"""),6.0)</f>
        <v>6</v>
      </c>
      <c r="F7" s="5">
        <f>IFERROR(__xludf.DUMMYFUNCTION("""COMPUTED_VALUE"""),8.851702197909E12)</f>
        <v>8851702197909</v>
      </c>
      <c r="G7" s="5" t="str">
        <f>IFERROR(__xludf.DUMMYFUNCTION("""COMPUTED_VALUE"""),"เบญจรงค์ข้าวขาวเสาไห้100% 5kg")</f>
        <v>เบญจรงค์ข้าวขาวเสาไห้100% 5kg</v>
      </c>
      <c r="H7" s="7">
        <f>IFERROR(__xludf.DUMMYFUNCTION("""COMPUTED_VALUE"""),155.0)</f>
        <v>155</v>
      </c>
      <c r="I7" s="7">
        <f>IFERROR(__xludf.DUMMYFUNCTION("""COMPUTED_VALUE"""),119.0)</f>
        <v>119</v>
      </c>
      <c r="J7" s="5" t="str">
        <f>IFERROR(__xludf.DUMMYFUNCTION("""COMPUTED_VALUE"""),"PROMOTION MAIL (รอบ 25 ก.ย. - 24 ต.ค. 69)")</f>
        <v>PROMOTION MAIL (รอบ 25 ก.ย. - 24 ต.ค. 69)</v>
      </c>
    </row>
    <row r="8">
      <c r="A8" s="5">
        <f>IFERROR(__xludf.DUMMYFUNCTION("""COMPUTED_VALUE"""),1111001.0)</f>
        <v>1111001</v>
      </c>
      <c r="B8" s="6" t="str">
        <f>IFERROR(__xludf.DUMMYFUNCTION("""COMPUTED_VALUE"""),"1111001321020901")</f>
        <v>1111001321020901</v>
      </c>
      <c r="C8" s="5" t="str">
        <f>IFERROR(__xludf.DUMMYFUNCTION("""COMPUTED_VALUE"""),"ข้าวสารเจ้า ข้าวทั่วไป 5% \บรรจุถุง 5 กก. \ตราฉัตร")</f>
        <v>ข้าวสารเจ้า ข้าวทั่วไป 5% \บรรจุถุง 5 กก. \ตราฉัตร</v>
      </c>
      <c r="D8" s="5">
        <f>IFERROR(__xludf.DUMMYFUNCTION("""COMPUTED_VALUE"""),1.0)</f>
        <v>1</v>
      </c>
      <c r="E8" s="5">
        <f>IFERROR(__xludf.DUMMYFUNCTION("""COMPUTED_VALUE"""),7.0)</f>
        <v>7</v>
      </c>
      <c r="F8" s="5"/>
      <c r="G8" s="5" t="str">
        <f>IFERROR(__xludf.DUMMYFUNCTION("""COMPUTED_VALUE"""),"ฉัตรน้ำเงินข้าวขาว5% 5kg")</f>
        <v>ฉัตรน้ำเงินข้าวขาว5% 5kg</v>
      </c>
      <c r="H8" s="7">
        <f>IFERROR(__xludf.DUMMYFUNCTION("""COMPUTED_VALUE"""),125.0)</f>
        <v>125</v>
      </c>
      <c r="I8" s="7">
        <f>IFERROR(__xludf.DUMMYFUNCTION("""COMPUTED_VALUE"""),119.0)</f>
        <v>119</v>
      </c>
      <c r="J8" s="5" t="str">
        <f>IFERROR(__xludf.DUMMYFUNCTION("""COMPUTED_VALUE"""),"PROMOTION MAIL (รอบ 25 ก.ย. - 24 ต.ค. 69)")</f>
        <v>PROMOTION MAIL (รอบ 25 ก.ย. - 24 ต.ค. 69)</v>
      </c>
    </row>
    <row r="9">
      <c r="A9" s="5">
        <f>IFERROR(__xludf.DUMMYFUNCTION("""COMPUTED_VALUE"""),1112104.0)</f>
        <v>1112104</v>
      </c>
      <c r="B9" s="6" t="str">
        <f>IFERROR(__xludf.DUMMYFUNCTION("""COMPUTED_VALUE"""),"1112104111010180")</f>
        <v>1112104111010180</v>
      </c>
      <c r="C9" s="5" t="str">
        <f>IFERROR(__xludf.DUMMYFUNCTION("""COMPUTED_VALUE"""),"แป้งทอดกรอบ ขนาดบรรจุถุง น้ำหนัก 1 ก.ก. ตราครัววังทิพย์")</f>
        <v>แป้งทอดกรอบ ขนาดบรรจุถุง น้ำหนัก 1 ก.ก. ตราครัววังทิพย์</v>
      </c>
      <c r="D9" s="5">
        <f>IFERROR(__xludf.DUMMYFUNCTION("""COMPUTED_VALUE"""),3.0)</f>
        <v>3</v>
      </c>
      <c r="E9" s="5">
        <f>IFERROR(__xludf.DUMMYFUNCTION("""COMPUTED_VALUE"""),1.0)</f>
        <v>1</v>
      </c>
      <c r="F9" s="5">
        <f>IFERROR(__xludf.DUMMYFUNCTION("""COMPUTED_VALUE"""),8.852633330908E12)</f>
        <v>8852633330908</v>
      </c>
      <c r="G9" s="5" t="str">
        <f>IFERROR(__xludf.DUMMYFUNCTION("""COMPUTED_VALUE"""),"ครัววังทิพย์แป้งทอดกรอบ1000g")</f>
        <v>ครัววังทิพย์แป้งทอดกรอบ1000g</v>
      </c>
      <c r="H9" s="7">
        <f>IFERROR(__xludf.DUMMYFUNCTION("""COMPUTED_VALUE"""),54.0)</f>
        <v>54</v>
      </c>
      <c r="I9" s="7">
        <f>IFERROR(__xludf.DUMMYFUNCTION("""COMPUTED_VALUE"""),51.0)</f>
        <v>51</v>
      </c>
      <c r="J9" s="5" t="str">
        <f>IFERROR(__xludf.DUMMYFUNCTION("""COMPUTED_VALUE"""),"PROMOTION MAIL (รอบ 25 ก.ย. - 24 ต.ค. 69)")</f>
        <v>PROMOTION MAIL (รอบ 25 ก.ย. - 24 ต.ค. 69)</v>
      </c>
    </row>
    <row r="10">
      <c r="A10" s="5">
        <f>IFERROR(__xludf.DUMMYFUNCTION("""COMPUTED_VALUE"""),1112104.0)</f>
        <v>1112104</v>
      </c>
      <c r="B10" s="6" t="str">
        <f>IFERROR(__xludf.DUMMYFUNCTION("""COMPUTED_VALUE"""),"1112104111030401")</f>
        <v>1112104111030401</v>
      </c>
      <c r="C10" s="5" t="str">
        <f>IFERROR(__xludf.DUMMYFUNCTION("""COMPUTED_VALUE"""),"แป้งทอดกรอบ ขนาดบรรจุถุง น้ำหนัก 500 กรัม ตราครัววังทิพย์")</f>
        <v>แป้งทอดกรอบ ขนาดบรรจุถุง น้ำหนัก 500 กรัม ตราครัววังทิพย์</v>
      </c>
      <c r="D10" s="5">
        <f>IFERROR(__xludf.DUMMYFUNCTION("""COMPUTED_VALUE"""),2.0)</f>
        <v>2</v>
      </c>
      <c r="E10" s="5">
        <f>IFERROR(__xludf.DUMMYFUNCTION("""COMPUTED_VALUE"""),2.0)</f>
        <v>2</v>
      </c>
      <c r="F10" s="5">
        <f>IFERROR(__xludf.DUMMYFUNCTION("""COMPUTED_VALUE"""),8.852633330502E12)</f>
        <v>8852633330502</v>
      </c>
      <c r="G10" s="5" t="str">
        <f>IFERROR(__xludf.DUMMYFUNCTION("""COMPUTED_VALUE"""),"ครัววังทิพย์แป้งทอดกรอบ500g")</f>
        <v>ครัววังทิพย์แป้งทอดกรอบ500g</v>
      </c>
      <c r="H10" s="7">
        <f>IFERROR(__xludf.DUMMYFUNCTION("""COMPUTED_VALUE"""),39.0)</f>
        <v>39</v>
      </c>
      <c r="I10" s="7"/>
      <c r="J10" s="5"/>
    </row>
    <row r="11">
      <c r="A11" s="5">
        <f>IFERROR(__xludf.DUMMYFUNCTION("""COMPUTED_VALUE"""),1112104.0)</f>
        <v>1112104</v>
      </c>
      <c r="B11" s="6" t="str">
        <f>IFERROR(__xludf.DUMMYFUNCTION("""COMPUTED_VALUE"""),"1112104111010280")</f>
        <v>1112104111010280</v>
      </c>
      <c r="C11" s="5" t="str">
        <f>IFERROR(__xludf.DUMMYFUNCTION("""COMPUTED_VALUE"""),"แป้งทอดกรอบ ขนาดบรรจุถุง น้ำหนัก 1 ก.ก. ตรายูเอฟเอ็ม")</f>
        <v>แป้งทอดกรอบ ขนาดบรรจุถุง น้ำหนัก 1 ก.ก. ตรายูเอฟเอ็ม</v>
      </c>
      <c r="D11" s="5">
        <f>IFERROR(__xludf.DUMMYFUNCTION("""COMPUTED_VALUE"""),1.0)</f>
        <v>1</v>
      </c>
      <c r="E11" s="5">
        <f>IFERROR(__xludf.DUMMYFUNCTION("""COMPUTED_VALUE"""),3.0)</f>
        <v>3</v>
      </c>
      <c r="F11" s="5">
        <f>IFERROR(__xludf.DUMMYFUNCTION("""COMPUTED_VALUE"""),8.850310000854E12)</f>
        <v>8850310000854</v>
      </c>
      <c r="G11" s="5" t="str">
        <f>IFERROR(__xludf.DUMMYFUNCTION("""COMPUTED_VALUE"""),"ยูเอฟเอ็มแป้งทอดกรอบ1kg")</f>
        <v>ยูเอฟเอ็มแป้งทอดกรอบ1kg</v>
      </c>
      <c r="H11" s="7">
        <f>IFERROR(__xludf.DUMMYFUNCTION("""COMPUTED_VALUE"""),47.0)</f>
        <v>47</v>
      </c>
      <c r="I11" s="7"/>
      <c r="J11" s="5"/>
    </row>
    <row r="12">
      <c r="A12" s="5">
        <f>IFERROR(__xludf.DUMMYFUNCTION("""COMPUTED_VALUE"""),1112104.0)</f>
        <v>1112104</v>
      </c>
      <c r="B12" s="6" t="str">
        <f>IFERROR(__xludf.DUMMYFUNCTION("""COMPUTED_VALUE"""),"1112104111030101")</f>
        <v>1112104111030101</v>
      </c>
      <c r="C12" s="5" t="str">
        <f>IFERROR(__xludf.DUMMYFUNCTION("""COMPUTED_VALUE"""),"แป้งทอดกรอบ ขนาดบรรจุถุง น้ำหนัก 500 กรัม ตราโกกิ")</f>
        <v>แป้งทอดกรอบ ขนาดบรรจุถุง น้ำหนัก 500 กรัม ตราโกกิ</v>
      </c>
      <c r="D12" s="5">
        <f>IFERROR(__xludf.DUMMYFUNCTION("""COMPUTED_VALUE"""),1.0)</f>
        <v>1</v>
      </c>
      <c r="E12" s="5">
        <f>IFERROR(__xludf.DUMMYFUNCTION("""COMPUTED_VALUE"""),4.0)</f>
        <v>4</v>
      </c>
      <c r="F12" s="5">
        <f>IFERROR(__xludf.DUMMYFUNCTION("""COMPUTED_VALUE"""),8.850180040028E12)</f>
        <v>8850180040028</v>
      </c>
      <c r="G12" s="5" t="str">
        <f>IFERROR(__xludf.DUMMYFUNCTION("""COMPUTED_VALUE"""),"โกกิแป้งประกอบอาหาร500g")</f>
        <v>โกกิแป้งประกอบอาหาร500g</v>
      </c>
      <c r="H12" s="7">
        <f>IFERROR(__xludf.DUMMYFUNCTION("""COMPUTED_VALUE"""),44.0)</f>
        <v>44</v>
      </c>
      <c r="I12" s="7"/>
      <c r="J12" s="5"/>
    </row>
    <row r="13">
      <c r="A13" s="5">
        <f>IFERROR(__xludf.DUMMYFUNCTION("""COMPUTED_VALUE"""),1112104.0)</f>
        <v>1112104</v>
      </c>
      <c r="B13" s="6" t="str">
        <f>IFERROR(__xludf.DUMMYFUNCTION("""COMPUTED_VALUE"""),"1112104111040101")</f>
        <v>1112104111040101</v>
      </c>
      <c r="C13" s="5" t="str">
        <f>IFERROR(__xludf.DUMMYFUNCTION("""COMPUTED_VALUE"""),"แป้งทอดกรอบ ขนาดบรรจุถุง น้ำหนัก 90 กรัม ตรารสดี รสต้นตำหรับ")</f>
        <v>แป้งทอดกรอบ ขนาดบรรจุถุง น้ำหนัก 90 กรัม ตรารสดี รสต้นตำหรับ</v>
      </c>
      <c r="D13" s="5">
        <f>IFERROR(__xludf.DUMMYFUNCTION("""COMPUTED_VALUE"""),1.0)</f>
        <v>1</v>
      </c>
      <c r="E13" s="5">
        <f>IFERROR(__xludf.DUMMYFUNCTION("""COMPUTED_VALUE"""),5.0)</f>
        <v>5</v>
      </c>
      <c r="F13" s="5">
        <f>IFERROR(__xludf.DUMMYFUNCTION("""COMPUTED_VALUE"""),8.850250002628E12)</f>
        <v>8850250002628</v>
      </c>
      <c r="G13" s="5" t="str">
        <f>IFERROR(__xludf.DUMMYFUNCTION("""COMPUTED_VALUE"""),"รสดีเมนูแป้งชุบทอด ต้นตำรับ90g")</f>
        <v>รสดีเมนูแป้งชุบทอด ต้นตำรับ90g</v>
      </c>
      <c r="H13" s="7">
        <f>IFERROR(__xludf.DUMMYFUNCTION("""COMPUTED_VALUE"""),15.0)</f>
        <v>15</v>
      </c>
      <c r="I13" s="7"/>
      <c r="J13" s="5"/>
    </row>
    <row r="14">
      <c r="A14" s="5">
        <f>IFERROR(__xludf.DUMMYFUNCTION("""COMPUTED_VALUE"""),1112202.0)</f>
        <v>1112202</v>
      </c>
      <c r="B14" s="6" t="str">
        <f>IFERROR(__xludf.DUMMYFUNCTION("""COMPUTED_VALUE"""),"1112202111030201")</f>
        <v>1112202111030201</v>
      </c>
      <c r="C14" s="5" t="str">
        <f>IFERROR(__xludf.DUMMYFUNCTION("""COMPUTED_VALUE"""),"วุ้นเส้น ทำจากถั่วเขียว\ บรรจุถุงพลาสติก 80 กรัม \ ตราต้นสน")</f>
        <v>วุ้นเส้น ทำจากถั่วเขียว\ บรรจุถุงพลาสติก 80 กรัม \ ตราต้นสน</v>
      </c>
      <c r="D14" s="5">
        <f>IFERROR(__xludf.DUMMYFUNCTION("""COMPUTED_VALUE"""),3.0)</f>
        <v>3</v>
      </c>
      <c r="E14" s="5">
        <f>IFERROR(__xludf.DUMMYFUNCTION("""COMPUTED_VALUE"""),1.0)</f>
        <v>1</v>
      </c>
      <c r="F14" s="5">
        <f>IFERROR(__xludf.DUMMYFUNCTION("""COMPUTED_VALUE"""),8.850372000557E12)</f>
        <v>8850372000557</v>
      </c>
      <c r="G14" s="5" t="str">
        <f>IFERROR(__xludf.DUMMYFUNCTION("""COMPUTED_VALUE"""),"ต้นสน วุ้นเส้น 80g")</f>
        <v>ต้นสน วุ้นเส้น 80g</v>
      </c>
      <c r="H14" s="7">
        <f>IFERROR(__xludf.DUMMYFUNCTION("""COMPUTED_VALUE"""),17.0)</f>
        <v>17</v>
      </c>
      <c r="I14" s="7"/>
      <c r="J14" s="5"/>
    </row>
    <row r="15">
      <c r="A15" s="5">
        <f>IFERROR(__xludf.DUMMYFUNCTION("""COMPUTED_VALUE"""),1112202.0)</f>
        <v>1112202</v>
      </c>
      <c r="B15" s="6" t="str">
        <f>IFERROR(__xludf.DUMMYFUNCTION("""COMPUTED_VALUE"""),"1112202111030401")</f>
        <v>1112202111030401</v>
      </c>
      <c r="C15" s="5" t="str">
        <f>IFERROR(__xludf.DUMMYFUNCTION("""COMPUTED_VALUE"""),"วุ้นเส้น ทำจากถั่วเขียว\ บรรจุถุงพลาสติก 80 กรัม \ ตรา มังกรคู่")</f>
        <v>วุ้นเส้น ทำจากถั่วเขียว\ บรรจุถุงพลาสติก 80 กรัม \ ตรา มังกรคู่</v>
      </c>
      <c r="D15" s="5">
        <f>IFERROR(__xludf.DUMMYFUNCTION("""COMPUTED_VALUE"""),1.0)</f>
        <v>1</v>
      </c>
      <c r="E15" s="5">
        <f>IFERROR(__xludf.DUMMYFUNCTION("""COMPUTED_VALUE"""),3.0)</f>
        <v>3</v>
      </c>
      <c r="F15" s="5"/>
      <c r="G15" s="5" t="str">
        <f>IFERROR(__xludf.DUMMYFUNCTION("""COMPUTED_VALUE"""),"มังกรคู่ วุ้นเส้น 80g")</f>
        <v>มังกรคู่ วุ้นเส้น 80g</v>
      </c>
      <c r="H15" s="7">
        <f>IFERROR(__xludf.DUMMYFUNCTION("""COMPUTED_VALUE"""),16.0)</f>
        <v>16</v>
      </c>
      <c r="I15" s="7">
        <f>IFERROR(__xludf.DUMMYFUNCTION("""COMPUTED_VALUE"""),14.0)</f>
        <v>14</v>
      </c>
      <c r="J15" s="5" t="str">
        <f>IFERROR(__xludf.DUMMYFUNCTION("""COMPUTED_VALUE"""),"PROMOTION MAIL (รอบ 25 ก.ย. - 24 ต.ค. 69)")</f>
        <v>PROMOTION MAIL (รอบ 25 ก.ย. - 24 ต.ค. 69)</v>
      </c>
    </row>
    <row r="16">
      <c r="A16" s="5">
        <f>IFERROR(__xludf.DUMMYFUNCTION("""COMPUTED_VALUE"""),1112202.0)</f>
        <v>1112202</v>
      </c>
      <c r="B16" s="6" t="str">
        <f>IFERROR(__xludf.DUMMYFUNCTION("""COMPUTED_VALUE"""),"1112202111030501")</f>
        <v>1112202111030501</v>
      </c>
      <c r="C16" s="5" t="str">
        <f>IFERROR(__xludf.DUMMYFUNCTION("""COMPUTED_VALUE"""),"วุ้นเส้น ทำจากถั่วเขียว\ บรรจุถุงพลาสติก 80 กรัม \ ตราต้นถั่ว")</f>
        <v>วุ้นเส้น ทำจากถั่วเขียว\ บรรจุถุงพลาสติก 80 กรัม \ ตราต้นถั่ว</v>
      </c>
      <c r="D16" s="5">
        <f>IFERROR(__xludf.DUMMYFUNCTION("""COMPUTED_VALUE"""),1.0)</f>
        <v>1</v>
      </c>
      <c r="E16" s="5">
        <f>IFERROR(__xludf.DUMMYFUNCTION("""COMPUTED_VALUE"""),4.0)</f>
        <v>4</v>
      </c>
      <c r="F16" s="5">
        <f>IFERROR(__xludf.DUMMYFUNCTION("""COMPUTED_VALUE"""),8.850372000151E12)</f>
        <v>8850372000151</v>
      </c>
      <c r="G16" s="5" t="str">
        <f>IFERROR(__xludf.DUMMYFUNCTION("""COMPUTED_VALUE"""),"ต้นถั่ว วุ้นเส้น 80g")</f>
        <v>ต้นถั่ว วุ้นเส้น 80g</v>
      </c>
      <c r="H16" s="7">
        <f>IFERROR(__xludf.DUMMYFUNCTION("""COMPUTED_VALUE"""),13.0)</f>
        <v>13</v>
      </c>
      <c r="I16" s="7"/>
      <c r="J16" s="5"/>
    </row>
    <row r="17">
      <c r="A17" s="5">
        <f>IFERROR(__xludf.DUMMYFUNCTION("""COMPUTED_VALUE"""),1112205.0)</f>
        <v>1112205</v>
      </c>
      <c r="B17" s="6" t="str">
        <f>IFERROR(__xludf.DUMMYFUNCTION("""COMPUTED_VALUE"""),"1112205111010101")</f>
        <v>1112205111010101</v>
      </c>
      <c r="C17" s="5" t="str">
        <f>IFERROR(__xludf.DUMMYFUNCTION("""COMPUTED_VALUE"""),"ขนมปังปอนด์ ชนิดแผ่น\ บรรจุถุงพลาสติก 480 กรัม \ ตราฟาร์มเฮ้าส์")</f>
        <v>ขนมปังปอนด์ ชนิดแผ่น\ บรรจุถุงพลาสติก 480 กรัม \ ตราฟาร์มเฮ้าส์</v>
      </c>
      <c r="D17" s="5">
        <f>IFERROR(__xludf.DUMMYFUNCTION("""COMPUTED_VALUE"""),4.0)</f>
        <v>4</v>
      </c>
      <c r="E17" s="5">
        <f>IFERROR(__xludf.DUMMYFUNCTION("""COMPUTED_VALUE"""),1.0)</f>
        <v>1</v>
      </c>
      <c r="F17" s="5">
        <f>IFERROR(__xludf.DUMMYFUNCTION("""COMPUTED_VALUE"""),8.850123110108E12)</f>
        <v>8850123110108</v>
      </c>
      <c r="G17" s="5" t="str">
        <f>IFERROR(__xludf.DUMMYFUNCTION("""COMPUTED_VALUE"""),"ฟาร์มเฮ้าส์แซนด์วิช480g")</f>
        <v>ฟาร์มเฮ้าส์แซนด์วิช480g</v>
      </c>
      <c r="H17" s="7">
        <f>IFERROR(__xludf.DUMMYFUNCTION("""COMPUTED_VALUE"""),40.0)</f>
        <v>40</v>
      </c>
      <c r="I17" s="7"/>
      <c r="J17" s="5"/>
    </row>
    <row r="18">
      <c r="A18" s="5">
        <f>IFERROR(__xludf.DUMMYFUNCTION("""COMPUTED_VALUE"""),1112205.0)</f>
        <v>1112205</v>
      </c>
      <c r="B18" s="6" t="str">
        <f>IFERROR(__xludf.DUMMYFUNCTION("""COMPUTED_VALUE"""),"1112205111021501")</f>
        <v>1112205111021501</v>
      </c>
      <c r="C18" s="5" t="str">
        <f>IFERROR(__xludf.DUMMYFUNCTION("""COMPUTED_VALUE"""),"ขนมปังปอนด์ ชนิดแผ่น \บรรจุถุงพลาสติก 400 กรัม \ ตราวรรณวนัส")</f>
        <v>ขนมปังปอนด์ ชนิดแผ่น \บรรจุถุงพลาสติก 400 กรัม \ ตราวรรณวนัส</v>
      </c>
      <c r="D18" s="5">
        <f>IFERROR(__xludf.DUMMYFUNCTION("""COMPUTED_VALUE"""),3.0)</f>
        <v>3</v>
      </c>
      <c r="E18" s="5">
        <f>IFERROR(__xludf.DUMMYFUNCTION("""COMPUTED_VALUE"""),2.0)</f>
        <v>2</v>
      </c>
      <c r="F18" s="5">
        <f>IFERROR(__xludf.DUMMYFUNCTION("""COMPUTED_VALUE"""),8.857125000864E12)</f>
        <v>8857125000864</v>
      </c>
      <c r="G18" s="5" t="str">
        <f>IFERROR(__xludf.DUMMYFUNCTION("""COMPUTED_VALUE"""),"วรรณวนัชขนมปังชนิดแผ่น 400g")</f>
        <v>วรรณวนัชขนมปังชนิดแผ่น 400g</v>
      </c>
      <c r="H18" s="7">
        <f>IFERROR(__xludf.DUMMYFUNCTION("""COMPUTED_VALUE"""),39.0)</f>
        <v>39</v>
      </c>
      <c r="I18" s="7"/>
      <c r="J18" s="5"/>
    </row>
    <row r="19">
      <c r="A19" s="5">
        <f>IFERROR(__xludf.DUMMYFUNCTION("""COMPUTED_VALUE"""),1112205.0)</f>
        <v>1112205</v>
      </c>
      <c r="B19" s="6" t="str">
        <f>IFERROR(__xludf.DUMMYFUNCTION("""COMPUTED_VALUE"""),"1112205111060101")</f>
        <v>1112205111060101</v>
      </c>
      <c r="C19" s="5" t="str">
        <f>IFERROR(__xludf.DUMMYFUNCTION("""COMPUTED_VALUE"""),"ขนมปังปอนด์ ชนิดแผ่น \บรรจุถุงพลาสติก 240 กรัม\ ตราฟาร์มเฮ้าส์")</f>
        <v>ขนมปังปอนด์ ชนิดแผ่น \บรรจุถุงพลาสติก 240 กรัม\ ตราฟาร์มเฮ้าส์</v>
      </c>
      <c r="D19" s="5">
        <f>IFERROR(__xludf.DUMMYFUNCTION("""COMPUTED_VALUE"""),1.0)</f>
        <v>1</v>
      </c>
      <c r="E19" s="5">
        <f>IFERROR(__xludf.DUMMYFUNCTION("""COMPUTED_VALUE"""),3.0)</f>
        <v>3</v>
      </c>
      <c r="F19" s="5">
        <f>IFERROR(__xludf.DUMMYFUNCTION("""COMPUTED_VALUE"""),8.850123110115E12)</f>
        <v>8850123110115</v>
      </c>
      <c r="G19" s="5" t="str">
        <f>IFERROR(__xludf.DUMMYFUNCTION("""COMPUTED_VALUE"""),"ฟาร์มเฮ้าส์แซนด์วิช240g")</f>
        <v>ฟาร์มเฮ้าส์แซนด์วิช240g</v>
      </c>
      <c r="H19" s="7">
        <f>IFERROR(__xludf.DUMMYFUNCTION("""COMPUTED_VALUE"""),21.0)</f>
        <v>21</v>
      </c>
      <c r="I19" s="7"/>
      <c r="J19" s="5"/>
    </row>
    <row r="20">
      <c r="A20" s="5">
        <f>IFERROR(__xludf.DUMMYFUNCTION("""COMPUTED_VALUE"""),1112205.0)</f>
        <v>1112205</v>
      </c>
      <c r="B20" s="6" t="str">
        <f>IFERROR(__xludf.DUMMYFUNCTION("""COMPUTED_VALUE"""),"1112205111110202")</f>
        <v>1112205111110202</v>
      </c>
      <c r="C20" s="5" t="str">
        <f>IFERROR(__xludf.DUMMYFUNCTION("""COMPUTED_VALUE"""),"ขนมปังปอนด์ ชนิดแผ่นแซนวิช แพ็คคู่ \บรรจุถุงพลาสติก 500 กรัม \ ตราฟาร์มเฮ้าส์ ขนมปังโฮลวีต")</f>
        <v>ขนมปังปอนด์ ชนิดแผ่นแซนวิช แพ็คคู่ \บรรจุถุงพลาสติก 500 กรัม \ ตราฟาร์มเฮ้าส์ ขนมปังโฮลวีต</v>
      </c>
      <c r="D20" s="5">
        <f>IFERROR(__xludf.DUMMYFUNCTION("""COMPUTED_VALUE"""),1.0)</f>
        <v>1</v>
      </c>
      <c r="E20" s="5">
        <f>IFERROR(__xludf.DUMMYFUNCTION("""COMPUTED_VALUE"""),4.0)</f>
        <v>4</v>
      </c>
      <c r="F20" s="5">
        <f>IFERROR(__xludf.DUMMYFUNCTION("""COMPUTED_VALUE"""),8.850123110436E12)</f>
        <v>8850123110436</v>
      </c>
      <c r="G20" s="5" t="str">
        <f>IFERROR(__xludf.DUMMYFUNCTION("""COMPUTED_VALUE"""),"ฟาร์มเฮ้าส์แซนด์วิชโฮลวีท500g")</f>
        <v>ฟาร์มเฮ้าส์แซนด์วิชโฮลวีท500g</v>
      </c>
      <c r="H20" s="7">
        <f>IFERROR(__xludf.DUMMYFUNCTION("""COMPUTED_VALUE"""),44.0)</f>
        <v>44</v>
      </c>
      <c r="I20" s="7"/>
      <c r="J20" s="5"/>
    </row>
    <row r="21">
      <c r="A21" s="5">
        <f>IFERROR(__xludf.DUMMYFUNCTION("""COMPUTED_VALUE"""),1112205.0)</f>
        <v>1112205</v>
      </c>
      <c r="B21" s="6" t="str">
        <f>IFERROR(__xludf.DUMMYFUNCTION("""COMPUTED_VALUE"""),"1112205111160401")</f>
        <v>1112205111160401</v>
      </c>
      <c r="C21" s="5" t="str">
        <f>IFERROR(__xludf.DUMMYFUNCTION("""COMPUTED_VALUE"""),"ขนมปังปอนด์ ชนิดแผ่น \บรรจุถุงพลาสติก 250 กรัม \ ตราฟาร์มเฮ้าส์ สูตรโฮลวีต")</f>
        <v>ขนมปังปอนด์ ชนิดแผ่น \บรรจุถุงพลาสติก 250 กรัม \ ตราฟาร์มเฮ้าส์ สูตรโฮลวีต</v>
      </c>
      <c r="D21" s="5">
        <f>IFERROR(__xludf.DUMMYFUNCTION("""COMPUTED_VALUE"""),1.0)</f>
        <v>1</v>
      </c>
      <c r="E21" s="5">
        <f>IFERROR(__xludf.DUMMYFUNCTION("""COMPUTED_VALUE"""),5.0)</f>
        <v>5</v>
      </c>
      <c r="F21" s="5">
        <f>IFERROR(__xludf.DUMMYFUNCTION("""COMPUTED_VALUE"""),8.850123110412E12)</f>
        <v>8850123110412</v>
      </c>
      <c r="G21" s="5" t="str">
        <f>IFERROR(__xludf.DUMMYFUNCTION("""COMPUTED_VALUE"""),"ฟาร์มเฮ้าส์แซนด์วิชโฮลวีท250g")</f>
        <v>ฟาร์มเฮ้าส์แซนด์วิชโฮลวีท250g</v>
      </c>
      <c r="H21" s="7">
        <f>IFERROR(__xludf.DUMMYFUNCTION("""COMPUTED_VALUE"""),24.0)</f>
        <v>24</v>
      </c>
      <c r="I21" s="7"/>
      <c r="J21" s="5"/>
    </row>
    <row r="22">
      <c r="A22" s="5">
        <f>IFERROR(__xludf.DUMMYFUNCTION("""COMPUTED_VALUE"""),1112207.0)</f>
        <v>1112207</v>
      </c>
      <c r="B22" s="6" t="str">
        <f>IFERROR(__xludf.DUMMYFUNCTION("""COMPUTED_VALUE"""),"1112207111070202")</f>
        <v>1112207111070202</v>
      </c>
      <c r="C22" s="5" t="str">
        <f>IFERROR(__xludf.DUMMYFUNCTION("""COMPUTED_VALUE"""),"อาหารธัญพืช บรรจุกล่อง\ น้ำหนัก 150 กรัม \ ตรา Nestle Ko Ko Krunch รสช็อกโกแลต")</f>
        <v>อาหารธัญพืช บรรจุกล่อง\ น้ำหนัก 150 กรัม \ ตรา Nestle Ko Ko Krunch รสช็อกโกแลต</v>
      </c>
      <c r="D22" s="5">
        <f>IFERROR(__xludf.DUMMYFUNCTION("""COMPUTED_VALUE"""),3.0)</f>
        <v>3</v>
      </c>
      <c r="E22" s="5">
        <f>IFERROR(__xludf.DUMMYFUNCTION("""COMPUTED_VALUE"""),1.0)</f>
        <v>1</v>
      </c>
      <c r="F22" s="5">
        <f>IFERROR(__xludf.DUMMYFUNCTION("""COMPUTED_VALUE"""),4.800361002851E12)</f>
        <v>4800361002851</v>
      </c>
      <c r="G22" s="5" t="str">
        <f>IFERROR(__xludf.DUMMYFUNCTION("""COMPUTED_VALUE"""),"เนสท์เล่โกโก้ครั้นช์ซีเรียล150g")</f>
        <v>เนสท์เล่โกโก้ครั้นช์ซีเรียล150g</v>
      </c>
      <c r="H22" s="7">
        <f>IFERROR(__xludf.DUMMYFUNCTION("""COMPUTED_VALUE"""),89.0)</f>
        <v>89</v>
      </c>
      <c r="I22" s="7"/>
      <c r="J22" s="5"/>
    </row>
    <row r="23">
      <c r="A23" s="5">
        <f>IFERROR(__xludf.DUMMYFUNCTION("""COMPUTED_VALUE"""),1112207.0)</f>
        <v>1112207</v>
      </c>
      <c r="B23" s="6" t="str">
        <f>IFERROR(__xludf.DUMMYFUNCTION("""COMPUTED_VALUE"""),"1112207113010202")</f>
        <v>1112207113010202</v>
      </c>
      <c r="C23" s="5" t="str">
        <f>IFERROR(__xludf.DUMMYFUNCTION("""COMPUTED_VALUE"""),"อาหารธัญพืช บรรจุถุงซิปล็อค \ น้ำหนัก 70 กรัม \ ตรา COPP SKY CEREALS รสน้ำผึ้ง")</f>
        <v>อาหารธัญพืช บรรจุถุงซิปล็อค \ น้ำหนัก 70 กรัม \ ตรา COPP SKY CEREALS รสน้ำผึ้ง</v>
      </c>
      <c r="D23" s="5">
        <f>IFERROR(__xludf.DUMMYFUNCTION("""COMPUTED_VALUE"""),2.0)</f>
        <v>2</v>
      </c>
      <c r="E23" s="5">
        <f>IFERROR(__xludf.DUMMYFUNCTION("""COMPUTED_VALUE"""),2.0)</f>
        <v>2</v>
      </c>
      <c r="F23" s="5">
        <f>IFERROR(__xludf.DUMMYFUNCTION("""COMPUTED_VALUE"""),8.850424002096E12)</f>
        <v>8850424002096</v>
      </c>
      <c r="G23" s="5" t="str">
        <f>IFERROR(__xludf.DUMMYFUNCTION("""COMPUTED_VALUE"""),"ยูโร่คอปน้ำผึ้ง70g")</f>
        <v>ยูโร่คอปน้ำผึ้ง70g</v>
      </c>
      <c r="H23" s="7">
        <f>IFERROR(__xludf.DUMMYFUNCTION("""COMPUTED_VALUE"""),20.0)</f>
        <v>20</v>
      </c>
      <c r="I23" s="7">
        <f>IFERROR(__xludf.DUMMYFUNCTION("""COMPUTED_VALUE"""),18.0)</f>
        <v>18</v>
      </c>
      <c r="J23" s="5"/>
    </row>
    <row r="24">
      <c r="A24" s="5">
        <f>IFERROR(__xludf.DUMMYFUNCTION("""COMPUTED_VALUE"""),1112207.0)</f>
        <v>1112207</v>
      </c>
      <c r="B24" s="6" t="str">
        <f>IFERROR(__xludf.DUMMYFUNCTION("""COMPUTED_VALUE"""),"1112207111010101")</f>
        <v>1112207111010101</v>
      </c>
      <c r="C24" s="5" t="str">
        <f>IFERROR(__xludf.DUMMYFUNCTION("""COMPUTED_VALUE"""),"อาหารธัญพืช บรรจุกล่อง\ น้ำหนัก 150 กรัม\ ตรา Kellogg's รส CORN FLAKES")</f>
        <v>อาหารธัญพืช บรรจุกล่อง\ น้ำหนัก 150 กรัม\ ตรา Kellogg's รส CORN FLAKES</v>
      </c>
      <c r="D24" s="5">
        <f>IFERROR(__xludf.DUMMYFUNCTION("""COMPUTED_VALUE"""),1.0)</f>
        <v>1</v>
      </c>
      <c r="E24" s="5">
        <f>IFERROR(__xludf.DUMMYFUNCTION("""COMPUTED_VALUE"""),3.0)</f>
        <v>3</v>
      </c>
      <c r="F24" s="5">
        <f>IFERROR(__xludf.DUMMYFUNCTION("""COMPUTED_VALUE"""),8.852756303056E12)</f>
        <v>8852756303056</v>
      </c>
      <c r="G24" s="5" t="str">
        <f>IFERROR(__xludf.DUMMYFUNCTION("""COMPUTED_VALUE"""),"เคลล็อกส์ซีเรียลคอร์นเฟลกส์150g")</f>
        <v>เคลล็อกส์ซีเรียลคอร์นเฟลกส์150g</v>
      </c>
      <c r="H24" s="7">
        <f>IFERROR(__xludf.DUMMYFUNCTION("""COMPUTED_VALUE"""),69.0)</f>
        <v>69</v>
      </c>
      <c r="I24" s="7"/>
      <c r="J24" s="5"/>
    </row>
    <row r="25">
      <c r="A25" s="5">
        <f>IFERROR(__xludf.DUMMYFUNCTION("""COMPUTED_VALUE"""),1112210.0)</f>
        <v>1112210</v>
      </c>
      <c r="B25" s="6" t="str">
        <f>IFERROR(__xludf.DUMMYFUNCTION("""COMPUTED_VALUE"""),"1112210111370201")</f>
        <v>1112210111370201</v>
      </c>
      <c r="C25" s="5" t="str">
        <f>IFERROR(__xludf.DUMMYFUNCTION("""COMPUTED_VALUE"""),"ขนมขบเคี้ยว \ บรรจุห่อ 52 กรัม\ ตราฮานามิ ข้าวเกรียบกุ้ง รสดั้งเดิม")</f>
        <v>ขนมขบเคี้ยว \ บรรจุห่อ 52 กรัม\ ตราฮานามิ ข้าวเกรียบกุ้ง รสดั้งเดิม</v>
      </c>
      <c r="D25" s="5">
        <f>IFERROR(__xludf.DUMMYFUNCTION("""COMPUTED_VALUE"""),3.0)</f>
        <v>3</v>
      </c>
      <c r="E25" s="5">
        <f>IFERROR(__xludf.DUMMYFUNCTION("""COMPUTED_VALUE"""),1.0)</f>
        <v>1</v>
      </c>
      <c r="F25" s="5">
        <f>IFERROR(__xludf.DUMMYFUNCTION("""COMPUTED_VALUE"""),8.852052110501E12)</f>
        <v>8852052110501</v>
      </c>
      <c r="G25" s="5" t="str">
        <f>IFERROR(__xludf.DUMMYFUNCTION("""COMPUTED_VALUE"""),"ฮานามิข้าวเกรียบกุ้งรสดั้งเดิม52g")</f>
        <v>ฮานามิข้าวเกรียบกุ้งรสดั้งเดิม52g</v>
      </c>
      <c r="H25" s="7">
        <f>IFERROR(__xludf.DUMMYFUNCTION("""COMPUTED_VALUE"""),20.0)</f>
        <v>20</v>
      </c>
      <c r="I25" s="7">
        <f>IFERROR(__xludf.DUMMYFUNCTION("""COMPUTED_VALUE"""),18.0)</f>
        <v>18</v>
      </c>
      <c r="J25" s="5" t="str">
        <f>IFERROR(__xludf.DUMMYFUNCTION("""COMPUTED_VALUE"""),"PROMOTION MAIL (รอบ 25 ก.ย. - 24 ต.ค. 69)")</f>
        <v>PROMOTION MAIL (รอบ 25 ก.ย. - 24 ต.ค. 69)</v>
      </c>
    </row>
    <row r="26">
      <c r="A26" s="5">
        <f>IFERROR(__xludf.DUMMYFUNCTION("""COMPUTED_VALUE"""),1112210.0)</f>
        <v>1112210</v>
      </c>
      <c r="B26" s="6" t="str">
        <f>IFERROR(__xludf.DUMMYFUNCTION("""COMPUTED_VALUE"""),"1112210111210201")</f>
        <v>1112210111210201</v>
      </c>
      <c r="C26" s="5" t="str">
        <f>IFERROR(__xludf.DUMMYFUNCTION("""COMPUTED_VALUE"""),"ขนมขบเคี้ยว \บรรจุห่อ 48 กรัม\ ตราคอนเน่ ข้าวโพดอบกรอบ")</f>
        <v>ขนมขบเคี้ยว \บรรจุห่อ 48 กรัม\ ตราคอนเน่ ข้าวโพดอบกรอบ</v>
      </c>
      <c r="D26" s="5">
        <f>IFERROR(__xludf.DUMMYFUNCTION("""COMPUTED_VALUE"""),2.0)</f>
        <v>2</v>
      </c>
      <c r="E26" s="5">
        <f>IFERROR(__xludf.DUMMYFUNCTION("""COMPUTED_VALUE"""),2.0)</f>
        <v>2</v>
      </c>
      <c r="F26" s="5">
        <f>IFERROR(__xludf.DUMMYFUNCTION("""COMPUTED_VALUE"""),8.851727003056E12)</f>
        <v>8851727003056</v>
      </c>
      <c r="G26" s="5" t="str">
        <f>IFERROR(__xludf.DUMMYFUNCTION("""COMPUTED_VALUE"""),"คอนเน่ข้าวโพดกรอบรสเข้มข้น48g/46g")</f>
        <v>คอนเน่ข้าวโพดกรอบรสเข้มข้น48g/46g</v>
      </c>
      <c r="H26" s="7">
        <f>IFERROR(__xludf.DUMMYFUNCTION("""COMPUTED_VALUE"""),20.0)</f>
        <v>20</v>
      </c>
      <c r="I26" s="7"/>
      <c r="J26" s="5"/>
    </row>
    <row r="27">
      <c r="A27" s="5">
        <f>IFERROR(__xludf.DUMMYFUNCTION("""COMPUTED_VALUE"""),1112210.0)</f>
        <v>1112210</v>
      </c>
      <c r="B27" s="6" t="str">
        <f>IFERROR(__xludf.DUMMYFUNCTION("""COMPUTED_VALUE"""),"1112210111210202")</f>
        <v>1112210111210202</v>
      </c>
      <c r="C27" s="5" t="str">
        <f>IFERROR(__xludf.DUMMYFUNCTION("""COMPUTED_VALUE"""),"ขนมขบเคี้ยว \บรรจุห่อ 46 กรัม\ ตราคอนเน่ ข้าวโพดอบกรอบ")</f>
        <v>ขนมขบเคี้ยว \บรรจุห่อ 46 กรัม\ ตราคอนเน่ ข้าวโพดอบกรอบ</v>
      </c>
      <c r="D27" s="5">
        <f>IFERROR(__xludf.DUMMYFUNCTION("""COMPUTED_VALUE"""),1.0)</f>
        <v>1</v>
      </c>
      <c r="E27" s="5">
        <f>IFERROR(__xludf.DUMMYFUNCTION("""COMPUTED_VALUE"""),3.0)</f>
        <v>3</v>
      </c>
      <c r="F27" s="5">
        <f>IFERROR(__xludf.DUMMYFUNCTION("""COMPUTED_VALUE"""),8.851727003056E12)</f>
        <v>8851727003056</v>
      </c>
      <c r="G27" s="5" t="str">
        <f>IFERROR(__xludf.DUMMYFUNCTION("""COMPUTED_VALUE"""),"คอนเน่ข้าวโพดกรอบรสเข้มข้น48g/46g")</f>
        <v>คอนเน่ข้าวโพดกรอบรสเข้มข้น48g/46g</v>
      </c>
      <c r="H27" s="7">
        <f>IFERROR(__xludf.DUMMYFUNCTION("""COMPUTED_VALUE"""),20.0)</f>
        <v>20</v>
      </c>
      <c r="I27" s="7"/>
      <c r="J27" s="5"/>
    </row>
    <row r="28">
      <c r="A28" s="5">
        <f>IFERROR(__xludf.DUMMYFUNCTION("""COMPUTED_VALUE"""),1112210.0)</f>
        <v>1112210</v>
      </c>
      <c r="B28" s="6" t="str">
        <f>IFERROR(__xludf.DUMMYFUNCTION("""COMPUTED_VALUE"""),"1112210111370301")</f>
        <v>1112210111370301</v>
      </c>
      <c r="C28" s="5" t="str">
        <f>IFERROR(__xludf.DUMMYFUNCTION("""COMPUTED_VALUE"""),"ขนมขบเคี้ยว \ บรรจุห่อ 52 กรัม\ ตราคาลบี้ เอบิเซน ข้าวเกรียบกุ้ง รสดั้งเดิม")</f>
        <v>ขนมขบเคี้ยว \ บรรจุห่อ 52 กรัม\ ตราคาลบี้ เอบิเซน ข้าวเกรียบกุ้ง รสดั้งเดิม</v>
      </c>
      <c r="D28" s="5">
        <f>IFERROR(__xludf.DUMMYFUNCTION("""COMPUTED_VALUE"""),1.0)</f>
        <v>1</v>
      </c>
      <c r="E28" s="5">
        <f>IFERROR(__xludf.DUMMYFUNCTION("""COMPUTED_VALUE"""),4.0)</f>
        <v>4</v>
      </c>
      <c r="F28" s="5">
        <f>IFERROR(__xludf.DUMMYFUNCTION("""COMPUTED_VALUE"""),8.851016000018E12)</f>
        <v>8851016000018</v>
      </c>
      <c r="G28" s="5" t="str">
        <f>IFERROR(__xludf.DUMMYFUNCTION("""COMPUTED_VALUE"""),"คาลบี้ข้าวเกรียบกุ้งรสดั้งเดิม52g")</f>
        <v>คาลบี้ข้าวเกรียบกุ้งรสดั้งเดิม52g</v>
      </c>
      <c r="H28" s="7">
        <f>IFERROR(__xludf.DUMMYFUNCTION("""COMPUTED_VALUE"""),20.0)</f>
        <v>20</v>
      </c>
      <c r="I28" s="7"/>
      <c r="J28" s="5"/>
    </row>
    <row r="29">
      <c r="A29" s="5">
        <f>IFERROR(__xludf.DUMMYFUNCTION("""COMPUTED_VALUE"""),1112210.0)</f>
        <v>1112210</v>
      </c>
      <c r="B29" s="6" t="str">
        <f>IFERROR(__xludf.DUMMYFUNCTION("""COMPUTED_VALUE"""),"1112210111440101")</f>
        <v>1112210111440101</v>
      </c>
      <c r="C29" s="5" t="str">
        <f>IFERROR(__xludf.DUMMYFUNCTION("""COMPUTED_VALUE"""),"ขนมขบเคี้ยว \ บรรจุห่อ 26 กรัม\ ตราฮานามิ ข้าวเกรียบกุ้ง รสดั้งเดิม")</f>
        <v>ขนมขบเคี้ยว \ บรรจุห่อ 26 กรัม\ ตราฮานามิ ข้าวเกรียบกุ้ง รสดั้งเดิม</v>
      </c>
      <c r="D29" s="5">
        <f>IFERROR(__xludf.DUMMYFUNCTION("""COMPUTED_VALUE"""),1.0)</f>
        <v>1</v>
      </c>
      <c r="E29" s="5">
        <f>IFERROR(__xludf.DUMMYFUNCTION("""COMPUTED_VALUE"""),5.0)</f>
        <v>5</v>
      </c>
      <c r="F29" s="5">
        <f>IFERROR(__xludf.DUMMYFUNCTION("""COMPUTED_VALUE"""),8.852052110402E12)</f>
        <v>8852052110402</v>
      </c>
      <c r="G29" s="5" t="str">
        <f>IFERROR(__xludf.DUMMYFUNCTION("""COMPUTED_VALUE"""),"ฮานามิข้าวเกรียบกุ้งรสดั้งเดิม26g")</f>
        <v>ฮานามิข้าวเกรียบกุ้งรสดั้งเดิม26g</v>
      </c>
      <c r="H29" s="7">
        <f>IFERROR(__xludf.DUMMYFUNCTION("""COMPUTED_VALUE"""),10.0)</f>
        <v>10</v>
      </c>
      <c r="I29" s="7"/>
      <c r="J29" s="5"/>
    </row>
    <row r="30">
      <c r="A30" s="5">
        <f>IFERROR(__xludf.DUMMYFUNCTION("""COMPUTED_VALUE"""),1112210.0)</f>
        <v>1112210</v>
      </c>
      <c r="B30" s="6" t="str">
        <f>IFERROR(__xludf.DUMMYFUNCTION("""COMPUTED_VALUE"""),"1112210111330201")</f>
        <v>1112210111330201</v>
      </c>
      <c r="C30" s="5" t="str">
        <f>IFERROR(__xludf.DUMMYFUNCTION("""COMPUTED_VALUE"""),"ขนมขบเคี้ยว \ บรรจุห่อ 56 กรัม \ ตราโปเต้ มันฝรั่งอบกรอบ")</f>
        <v>ขนมขบเคี้ยว \ บรรจุห่อ 56 กรัม \ ตราโปเต้ มันฝรั่งอบกรอบ</v>
      </c>
      <c r="D30" s="5">
        <f>IFERROR(__xludf.DUMMYFUNCTION("""COMPUTED_VALUE"""),1.0)</f>
        <v>1</v>
      </c>
      <c r="E30" s="5">
        <f>IFERROR(__xludf.DUMMYFUNCTION("""COMPUTED_VALUE"""),6.0)</f>
        <v>6</v>
      </c>
      <c r="F30" s="5">
        <f>IFERROR(__xludf.DUMMYFUNCTION("""COMPUTED_VALUE"""),8.851727001052E12)</f>
        <v>8851727001052</v>
      </c>
      <c r="G30" s="5" t="str">
        <f>IFERROR(__xludf.DUMMYFUNCTION("""COMPUTED_VALUE"""),"โปเต้ขนมมันฝรั่ง56g/52g")</f>
        <v>โปเต้ขนมมันฝรั่ง56g/52g</v>
      </c>
      <c r="H30" s="7">
        <f>IFERROR(__xludf.DUMMYFUNCTION("""COMPUTED_VALUE"""),20.0)</f>
        <v>20</v>
      </c>
      <c r="I30" s="7">
        <f>IFERROR(__xludf.DUMMYFUNCTION("""COMPUTED_VALUE"""),18.0)</f>
        <v>18</v>
      </c>
      <c r="J30" s="5" t="str">
        <f>IFERROR(__xludf.DUMMYFUNCTION("""COMPUTED_VALUE"""),"PROMOTION MAIL (รอบ 25 ก.ย. - 24 ต.ค. 69)")</f>
        <v>PROMOTION MAIL (รอบ 25 ก.ย. - 24 ต.ค. 69)</v>
      </c>
    </row>
    <row r="31">
      <c r="A31" s="5">
        <f>IFERROR(__xludf.DUMMYFUNCTION("""COMPUTED_VALUE"""),1121203.0)</f>
        <v>1121203</v>
      </c>
      <c r="B31" s="6" t="str">
        <f>IFERROR(__xludf.DUMMYFUNCTION("""COMPUTED_VALUE"""),"1121203121240101")</f>
        <v>1121203121240101</v>
      </c>
      <c r="C31" s="5" t="str">
        <f>IFERROR(__xludf.DUMMYFUNCTION("""COMPUTED_VALUE"""),"หมูหยอง คุณภาพดี \ บรรจุถุงพลาสติก 18 กรัม\ ตราเจ้าสัว")</f>
        <v>หมูหยอง คุณภาพดี \ บรรจุถุงพลาสติก 18 กรัม\ ตราเจ้าสัว</v>
      </c>
      <c r="D31" s="5">
        <f>IFERROR(__xludf.DUMMYFUNCTION("""COMPUTED_VALUE"""),1.0)</f>
        <v>1</v>
      </c>
      <c r="E31" s="5">
        <f>IFERROR(__xludf.DUMMYFUNCTION("""COMPUTED_VALUE"""),1.0)</f>
        <v>1</v>
      </c>
      <c r="F31" s="5">
        <f>IFERROR(__xludf.DUMMYFUNCTION("""COMPUTED_VALUE"""),8.852240020131E12)</f>
        <v>8852240020131</v>
      </c>
      <c r="G31" s="5" t="str">
        <f>IFERROR(__xludf.DUMMYFUNCTION("""COMPUTED_VALUE"""),"เจ้าสัวหมูหยอง18g")</f>
        <v>เจ้าสัวหมูหยอง18g</v>
      </c>
      <c r="H31" s="7">
        <f>IFERROR(__xludf.DUMMYFUNCTION("""COMPUTED_VALUE"""),20.0)</f>
        <v>20</v>
      </c>
      <c r="I31" s="7"/>
      <c r="J31" s="5"/>
    </row>
    <row r="32">
      <c r="A32" s="5">
        <f>IFERROR(__xludf.DUMMYFUNCTION("""COMPUTED_VALUE"""),1121203.0)</f>
        <v>1121203</v>
      </c>
      <c r="B32" s="6" t="str">
        <f>IFERROR(__xludf.DUMMYFUNCTION("""COMPUTED_VALUE"""),"1121203211020101")</f>
        <v>1121203211020101</v>
      </c>
      <c r="C32" s="5" t="str">
        <f>IFERROR(__xludf.DUMMYFUNCTION("""COMPUTED_VALUE"""),"หมูหยอง คุณภาพดี \ บรรจุถุงพลาสติก 22 กรัม\ ตราหมูดี")</f>
        <v>หมูหยอง คุณภาพดี \ บรรจุถุงพลาสติก 22 กรัม\ ตราหมูดี</v>
      </c>
      <c r="D32" s="5">
        <f>IFERROR(__xludf.DUMMYFUNCTION("""COMPUTED_VALUE"""),1.0)</f>
        <v>1</v>
      </c>
      <c r="E32" s="5">
        <f>IFERROR(__xludf.DUMMYFUNCTION("""COMPUTED_VALUE"""),2.0)</f>
        <v>2</v>
      </c>
      <c r="F32" s="5">
        <f>IFERROR(__xludf.DUMMYFUNCTION("""COMPUTED_VALUE"""),8.850269040055E12)</f>
        <v>8850269040055</v>
      </c>
      <c r="G32" s="5" t="str">
        <f>IFERROR(__xludf.DUMMYFUNCTION("""COMPUTED_VALUE"""),"หมูดีหมูหยองกรอบ22ก.")</f>
        <v>หมูดีหมูหยองกรอบ22ก.</v>
      </c>
      <c r="H32" s="7">
        <f>IFERROR(__xludf.DUMMYFUNCTION("""COMPUTED_VALUE"""),20.0)</f>
        <v>20</v>
      </c>
      <c r="I32" s="7"/>
      <c r="J32" s="5"/>
    </row>
    <row r="33">
      <c r="A33" s="5">
        <f>IFERROR(__xludf.DUMMYFUNCTION("""COMPUTED_VALUE"""),1121209.0)</f>
        <v>1121209</v>
      </c>
      <c r="B33" s="6" t="str">
        <f>IFERROR(__xludf.DUMMYFUNCTION("""COMPUTED_VALUE"""),"1121209111170301")</f>
        <v>1121209111170301</v>
      </c>
      <c r="C33" s="5" t="str">
        <f>IFERROR(__xludf.DUMMYFUNCTION("""COMPUTED_VALUE"""),"หมูยอ\ทำจากเนื้อหมู ปรุงสุก\ เป็นแท่งยาว \คุณภาพดี \บรรจุห่อ\ น้ำหนัก 150 กรัม \ ตราบ้านไผ่")</f>
        <v>หมูยอ\ทำจากเนื้อหมู ปรุงสุก\ เป็นแท่งยาว \คุณภาพดี \บรรจุห่อ\ น้ำหนัก 150 กรัม \ ตราบ้านไผ่</v>
      </c>
      <c r="D33" s="5">
        <f>IFERROR(__xludf.DUMMYFUNCTION("""COMPUTED_VALUE"""),2.0)</f>
        <v>2</v>
      </c>
      <c r="E33" s="5">
        <f>IFERROR(__xludf.DUMMYFUNCTION("""COMPUTED_VALUE"""),1.0)</f>
        <v>1</v>
      </c>
      <c r="F33" s="5">
        <f>IFERROR(__xludf.DUMMYFUNCTION("""COMPUTED_VALUE"""),8.850269040192E12)</f>
        <v>8850269040192</v>
      </c>
      <c r="G33" s="5" t="str">
        <f>IFERROR(__xludf.DUMMYFUNCTION("""COMPUTED_VALUE"""),"บ้านไผ่ หมูยอ 2x150g(1+1)")</f>
        <v>บ้านไผ่ หมูยอ 2x150g(1+1)</v>
      </c>
      <c r="H33" s="7">
        <f>IFERROR(__xludf.DUMMYFUNCTION("""COMPUTED_VALUE"""),46.0)</f>
        <v>46</v>
      </c>
      <c r="I33" s="7"/>
      <c r="J33" s="5"/>
    </row>
    <row r="34">
      <c r="A34" s="5">
        <f>IFERROR(__xludf.DUMMYFUNCTION("""COMPUTED_VALUE"""),1121209.0)</f>
        <v>1121209</v>
      </c>
      <c r="B34" s="6" t="str">
        <f>IFERROR(__xludf.DUMMYFUNCTION("""COMPUTED_VALUE"""),"1121209111210201")</f>
        <v>1121209111210201</v>
      </c>
      <c r="C34" s="5" t="str">
        <f>IFERROR(__xludf.DUMMYFUNCTION("""COMPUTED_VALUE"""),"หมูยอ\ทำจากเนื้อหมู ปรุงสุก\ เป็นแท่งยาว \คุณภาพดี \บรรจุห่อ\ น้ำหนัก 400 กรัม \ ตราหมูอนามัย")</f>
        <v>หมูยอ\ทำจากเนื้อหมู ปรุงสุก\ เป็นแท่งยาว \คุณภาพดี \บรรจุห่อ\ น้ำหนัก 400 กรัม \ ตราหมูอนามัย</v>
      </c>
      <c r="D34" s="5">
        <f>IFERROR(__xludf.DUMMYFUNCTION("""COMPUTED_VALUE"""),1.0)</f>
        <v>1</v>
      </c>
      <c r="E34" s="5">
        <f>IFERROR(__xludf.DUMMYFUNCTION("""COMPUTED_VALUE"""),2.0)</f>
        <v>2</v>
      </c>
      <c r="F34" s="5">
        <f>IFERROR(__xludf.DUMMYFUNCTION("""COMPUTED_VALUE"""),8.85398800069E12)</f>
        <v>8853988000690</v>
      </c>
      <c r="G34" s="5" t="str">
        <f>IFERROR(__xludf.DUMMYFUNCTION("""COMPUTED_VALUE"""),"หมูอนามัยหมูยอ400g")</f>
        <v>หมูอนามัยหมูยอ400g</v>
      </c>
      <c r="H34" s="7">
        <f>IFERROR(__xludf.DUMMYFUNCTION("""COMPUTED_VALUE"""),59.0)</f>
        <v>59</v>
      </c>
      <c r="I34" s="7"/>
      <c r="J34" s="5"/>
    </row>
    <row r="35">
      <c r="A35" s="5">
        <f>IFERROR(__xludf.DUMMYFUNCTION("""COMPUTED_VALUE"""),1121209.0)</f>
        <v>1121209</v>
      </c>
      <c r="B35" s="6" t="str">
        <f>IFERROR(__xludf.DUMMYFUNCTION("""COMPUTED_VALUE"""),"1121209111070301")</f>
        <v>1121209111070301</v>
      </c>
      <c r="C35" s="5" t="str">
        <f>IFERROR(__xludf.DUMMYFUNCTION("""COMPUTED_VALUE"""),"หมูยอ\ทำจากเนื้อหมู ปรุงสุก\ เป็นแท่งยาว \คุณภาพดี \บรรจุห่อ \ น้ำหนัก 250 กรัม \ ตราหมูดี")</f>
        <v>หมูยอ\ทำจากเนื้อหมู ปรุงสุก\ เป็นแท่งยาว \คุณภาพดี \บรรจุห่อ \ น้ำหนัก 250 กรัม \ ตราหมูดี</v>
      </c>
      <c r="D35" s="5">
        <f>IFERROR(__xludf.DUMMYFUNCTION("""COMPUTED_VALUE"""),1.0)</f>
        <v>1</v>
      </c>
      <c r="E35" s="5">
        <f>IFERROR(__xludf.DUMMYFUNCTION("""COMPUTED_VALUE"""),3.0)</f>
        <v>3</v>
      </c>
      <c r="F35" s="5">
        <f>IFERROR(__xludf.DUMMYFUNCTION("""COMPUTED_VALUE"""),8.85026904406E12)</f>
        <v>8850269044060</v>
      </c>
      <c r="G35" s="5" t="str">
        <f>IFERROR(__xludf.DUMMYFUNCTION("""COMPUTED_VALUE"""),"หมูดี หมูยอพริกไทยดำ 2x250 g.")</f>
        <v>หมูดี หมูยอพริกไทยดำ 2x250 g.</v>
      </c>
      <c r="H35" s="7">
        <f>IFERROR(__xludf.DUMMYFUNCTION("""COMPUTED_VALUE"""),84.0)</f>
        <v>84</v>
      </c>
      <c r="I35" s="7"/>
      <c r="J35" s="5"/>
    </row>
    <row r="36">
      <c r="A36" s="5">
        <f>IFERROR(__xludf.DUMMYFUNCTION("""COMPUTED_VALUE"""),1121209.0)</f>
        <v>1121209</v>
      </c>
      <c r="B36" s="6" t="str">
        <f>IFERROR(__xludf.DUMMYFUNCTION("""COMPUTED_VALUE"""),"1121209111170601")</f>
        <v>1121209111170601</v>
      </c>
      <c r="C36" s="5" t="str">
        <f>IFERROR(__xludf.DUMMYFUNCTION("""COMPUTED_VALUE"""),"หมูยอ\ทำจากเนื้อหมู ปรุงสุก\ เป็นแท่งยาว \คุณภาพดี \บรรจุห่อ \ น้ำหนัก 150 กรัม \ ตราหมูดี")</f>
        <v>หมูยอ\ทำจากเนื้อหมู ปรุงสุก\ เป็นแท่งยาว \คุณภาพดี \บรรจุห่อ \ น้ำหนัก 150 กรัม \ ตราหมูดี</v>
      </c>
      <c r="D36" s="5">
        <f>IFERROR(__xludf.DUMMYFUNCTION("""COMPUTED_VALUE"""),1.0)</f>
        <v>1</v>
      </c>
      <c r="E36" s="5">
        <f>IFERROR(__xludf.DUMMYFUNCTION("""COMPUTED_VALUE"""),4.0)</f>
        <v>4</v>
      </c>
      <c r="F36" s="5">
        <f>IFERROR(__xludf.DUMMYFUNCTION("""COMPUTED_VALUE"""),8.850269040192E12)</f>
        <v>8850269040192</v>
      </c>
      <c r="G36" s="5" t="str">
        <f>IFERROR(__xludf.DUMMYFUNCTION("""COMPUTED_VALUE"""),"หมูดีหมูยอ 150g")</f>
        <v>หมูดีหมูยอ 150g</v>
      </c>
      <c r="H36" s="7">
        <f>IFERROR(__xludf.DUMMYFUNCTION("""COMPUTED_VALUE"""),46.0)</f>
        <v>46</v>
      </c>
      <c r="I36" s="7"/>
      <c r="J36" s="5"/>
    </row>
    <row r="37">
      <c r="A37" s="5">
        <f>IFERROR(__xludf.DUMMYFUNCTION("""COMPUTED_VALUE"""),1121211.0)</f>
        <v>1121211</v>
      </c>
      <c r="B37" s="6" t="str">
        <f>IFERROR(__xludf.DUMMYFUNCTION("""COMPUTED_VALUE"""),"1121211111080101")</f>
        <v>1121211111080101</v>
      </c>
      <c r="C37" s="5" t="str">
        <f>IFERROR(__xludf.DUMMYFUNCTION("""COMPUTED_VALUE"""),"แฮมหมู / น้ำหนัก 95 กรัม / ตรา TGM")</f>
        <v>แฮมหมู / น้ำหนัก 95 กรัม / ตรา TGM</v>
      </c>
      <c r="D37" s="5">
        <f>IFERROR(__xludf.DUMMYFUNCTION("""COMPUTED_VALUE"""),1.0)</f>
        <v>1</v>
      </c>
      <c r="E37" s="5">
        <f>IFERROR(__xludf.DUMMYFUNCTION("""COMPUTED_VALUE"""),1.0)</f>
        <v>1</v>
      </c>
      <c r="F37" s="5">
        <f>IFERROR(__xludf.DUMMYFUNCTION("""COMPUTED_VALUE"""),8.85082650626E12)</f>
        <v>8850826506260</v>
      </c>
      <c r="G37" s="5" t="str">
        <f>IFERROR(__xludf.DUMMYFUNCTION("""COMPUTED_VALUE"""),"TGM แซนวิสแฮมเอ95g")</f>
        <v>TGM แซนวิสแฮมเอ95g</v>
      </c>
      <c r="H37" s="7"/>
      <c r="I37" s="7"/>
      <c r="J37" s="5"/>
    </row>
    <row r="38">
      <c r="A38" s="5">
        <f>IFERROR(__xludf.DUMMYFUNCTION("""COMPUTED_VALUE"""),1132001.0)</f>
        <v>1132001</v>
      </c>
      <c r="B38" s="6" t="str">
        <f>IFERROR(__xludf.DUMMYFUNCTION("""COMPUTED_VALUE"""),"1132001311010501")</f>
        <v>1132001311010501</v>
      </c>
      <c r="C38" s="5" t="str">
        <f>IFERROR(__xludf.DUMMYFUNCTION("""COMPUTED_VALUE"""),"นมสด พาสเจอร์ไรต์ รสจืด\ บรรจุขวด 200 ซีซี \ ตราดัชมิลล์")</f>
        <v>นมสด พาสเจอร์ไรต์ รสจืด\ บรรจุขวด 200 ซีซี \ ตราดัชมิลล์</v>
      </c>
      <c r="D38" s="5">
        <f>IFERROR(__xludf.DUMMYFUNCTION("""COMPUTED_VALUE"""),1.0)</f>
        <v>1</v>
      </c>
      <c r="E38" s="5">
        <f>IFERROR(__xludf.DUMMYFUNCTION("""COMPUTED_VALUE"""),2.0)</f>
        <v>2</v>
      </c>
      <c r="F38" s="5">
        <f>IFERROR(__xludf.DUMMYFUNCTION("""COMPUTED_VALUE"""),8.851717060014E12)</f>
        <v>8851717060014</v>
      </c>
      <c r="G38" s="5" t="str">
        <f>IFERROR(__xludf.DUMMYFUNCTION("""COMPUTED_VALUE"""),"ดัชมิลล์นมสดจืด200ml")</f>
        <v>ดัชมิลล์นมสดจืด200ml</v>
      </c>
      <c r="H38" s="7">
        <f>IFERROR(__xludf.DUMMYFUNCTION("""COMPUTED_VALUE"""),13.0)</f>
        <v>13</v>
      </c>
      <c r="I38" s="7"/>
      <c r="J38" s="5"/>
    </row>
    <row r="39">
      <c r="A39" s="5">
        <f>IFERROR(__xludf.DUMMYFUNCTION("""COMPUTED_VALUE"""),1132001.0)</f>
        <v>1132001</v>
      </c>
      <c r="B39" s="6" t="str">
        <f>IFERROR(__xludf.DUMMYFUNCTION("""COMPUTED_VALUE"""),"1132001113040101")</f>
        <v>1132001113040101</v>
      </c>
      <c r="C39" s="5" t="str">
        <f>IFERROR(__xludf.DUMMYFUNCTION("""COMPUTED_VALUE"""),"นมสด UHT รสจืด\ บรรจุกล่อง 225 ซีซี (แพ็ค 4)\ตราหนองโพ")</f>
        <v>นมสด UHT รสจืด\ บรรจุกล่อง 225 ซีซี (แพ็ค 4)\ตราหนองโพ</v>
      </c>
      <c r="D39" s="5">
        <f>IFERROR(__xludf.DUMMYFUNCTION("""COMPUTED_VALUE"""),1.0)</f>
        <v>1</v>
      </c>
      <c r="E39" s="5">
        <f>IFERROR(__xludf.DUMMYFUNCTION("""COMPUTED_VALUE"""),7.0)</f>
        <v>7</v>
      </c>
      <c r="F39" s="5">
        <f>IFERROR(__xludf.DUMMYFUNCTION("""COMPUTED_VALUE"""),8.858862801288E12)</f>
        <v>8858862801288</v>
      </c>
      <c r="G39" s="5" t="str">
        <f>IFERROR(__xludf.DUMMYFUNCTION("""COMPUTED_VALUE"""),"หนองโพUHTจืด225mlx4")</f>
        <v>หนองโพUHTจืด225mlx4</v>
      </c>
      <c r="H39" s="7"/>
      <c r="I39" s="7"/>
      <c r="J39" s="5"/>
    </row>
    <row r="40">
      <c r="A40" s="5">
        <f>IFERROR(__xludf.DUMMYFUNCTION("""COMPUTED_VALUE"""),1132002.0)</f>
        <v>1132002</v>
      </c>
      <c r="B40" s="6" t="str">
        <f>IFERROR(__xludf.DUMMYFUNCTION("""COMPUTED_VALUE"""),"1132002211010101")</f>
        <v>1132002211010101</v>
      </c>
      <c r="C40" s="5" t="str">
        <f>IFERROR(__xludf.DUMMYFUNCTION("""COMPUTED_VALUE"""),"นมข้นหวาน (ครีมเทียมข้นหวาน) \ บรรจุกระป๋อง 380 กรัม \ ตราพาเลซ สูตรพร่องไขมัน")</f>
        <v>นมข้นหวาน (ครีมเทียมข้นหวาน) \ บรรจุกระป๋อง 380 กรัม \ ตราพาเลซ สูตรพร่องไขมัน</v>
      </c>
      <c r="D40" s="5">
        <f>IFERROR(__xludf.DUMMYFUNCTION("""COMPUTED_VALUE"""),2.0)</f>
        <v>2</v>
      </c>
      <c r="E40" s="5">
        <f>IFERROR(__xludf.DUMMYFUNCTION("""COMPUTED_VALUE"""),2.0)</f>
        <v>2</v>
      </c>
      <c r="F40" s="5">
        <f>IFERROR(__xludf.DUMMYFUNCTION("""COMPUTED_VALUE"""),8.85076205023E12)</f>
        <v>8850762050230</v>
      </c>
      <c r="G40" s="5" t="str">
        <f>IFERROR(__xludf.DUMMYFUNCTION("""COMPUTED_VALUE"""),"พาเลซครีมเทียมข้นหวานพร่องไขมัน380g")</f>
        <v>พาเลซครีมเทียมข้นหวานพร่องไขมัน380g</v>
      </c>
      <c r="H40" s="7">
        <f>IFERROR(__xludf.DUMMYFUNCTION("""COMPUTED_VALUE"""),25.0)</f>
        <v>25</v>
      </c>
      <c r="I40" s="7">
        <f>IFERROR(__xludf.DUMMYFUNCTION("""COMPUTED_VALUE"""),23.0)</f>
        <v>23</v>
      </c>
      <c r="J40" s="5" t="str">
        <f>IFERROR(__xludf.DUMMYFUNCTION("""COMPUTED_VALUE"""),"PROMOTION MAIL (รอบ 25 ก.ย. - 24 ต.ค. 69)")</f>
        <v>PROMOTION MAIL (รอบ 25 ก.ย. - 24 ต.ค. 69)</v>
      </c>
    </row>
    <row r="41">
      <c r="A41" s="5">
        <f>IFERROR(__xludf.DUMMYFUNCTION("""COMPUTED_VALUE"""),1132002.0)</f>
        <v>1132002</v>
      </c>
      <c r="B41" s="6" t="str">
        <f>IFERROR(__xludf.DUMMYFUNCTION("""COMPUTED_VALUE"""),"1132002111070101")</f>
        <v>1132002111070101</v>
      </c>
      <c r="C41" s="5" t="str">
        <f>IFERROR(__xludf.DUMMYFUNCTION("""COMPUTED_VALUE"""),"นมข้นหวาน \ บรรจุกระป๋อง 405 กรัม\ ตราคาร์เนชั่น")</f>
        <v>นมข้นหวาน \ บรรจุกระป๋อง 405 กรัม\ ตราคาร์เนชั่น</v>
      </c>
      <c r="D41" s="5">
        <f>IFERROR(__xludf.DUMMYFUNCTION("""COMPUTED_VALUE"""),1.0)</f>
        <v>1</v>
      </c>
      <c r="E41" s="5">
        <f>IFERROR(__xludf.DUMMYFUNCTION("""COMPUTED_VALUE"""),3.0)</f>
        <v>3</v>
      </c>
      <c r="F41" s="5">
        <f>IFERROR(__xludf.DUMMYFUNCTION("""COMPUTED_VALUE"""),8.850124018205E12)</f>
        <v>8850124018205</v>
      </c>
      <c r="G41" s="5" t="str">
        <f>IFERROR(__xludf.DUMMYFUNCTION("""COMPUTED_VALUE"""),"คาร์เนชั่นปรุงอาหารและเบเกอรี่405g")</f>
        <v>คาร์เนชั่นปรุงอาหารและเบเกอรี่405g</v>
      </c>
      <c r="H41" s="7">
        <f>IFERROR(__xludf.DUMMYFUNCTION("""COMPUTED_VALUE"""),28.0)</f>
        <v>28</v>
      </c>
      <c r="I41" s="7">
        <f>IFERROR(__xludf.DUMMYFUNCTION("""COMPUTED_VALUE"""),27.0)</f>
        <v>27</v>
      </c>
      <c r="J41" s="5" t="str">
        <f>IFERROR(__xludf.DUMMYFUNCTION("""COMPUTED_VALUE"""),"PROMOTION MAIL (รอบ 25 ก.ย. - 24 ต.ค. 69)")</f>
        <v>PROMOTION MAIL (รอบ 25 ก.ย. - 24 ต.ค. 69)</v>
      </c>
    </row>
    <row r="42">
      <c r="A42" s="5">
        <f>IFERROR(__xludf.DUMMYFUNCTION("""COMPUTED_VALUE"""),1132002.0)</f>
        <v>1132002</v>
      </c>
      <c r="B42" s="6" t="str">
        <f>IFERROR(__xludf.DUMMYFUNCTION("""COMPUTED_VALUE"""),"1132002111090104")</f>
        <v>1132002111090104</v>
      </c>
      <c r="C42" s="5" t="str">
        <f>IFERROR(__xludf.DUMMYFUNCTION("""COMPUTED_VALUE"""),"นมข้นหวาน (ครีมเทียมข้นหวาน) \ บรรจุกระป๋อง 385 กรัม \ ตราทีพอท สูตรพร่องไขมัน")</f>
        <v>นมข้นหวาน (ครีมเทียมข้นหวาน) \ บรรจุกระป๋อง 385 กรัม \ ตราทีพอท สูตรพร่องไขมัน</v>
      </c>
      <c r="D42" s="5">
        <f>IFERROR(__xludf.DUMMYFUNCTION("""COMPUTED_VALUE"""),1.0)</f>
        <v>1</v>
      </c>
      <c r="E42" s="5">
        <f>IFERROR(__xludf.DUMMYFUNCTION("""COMPUTED_VALUE"""),4.0)</f>
        <v>4</v>
      </c>
      <c r="F42" s="5">
        <f>IFERROR(__xludf.DUMMYFUNCTION("""COMPUTED_VALUE"""),8.858705601679E12)</f>
        <v>8858705601679</v>
      </c>
      <c r="G42" s="5" t="str">
        <f>IFERROR(__xludf.DUMMYFUNCTION("""COMPUTED_VALUE"""),"ทีพอทพร่องไขมันอาหารและเบเกอรี่385g")</f>
        <v>ทีพอทพร่องไขมันอาหารและเบเกอรี่385g</v>
      </c>
      <c r="H42" s="7">
        <f>IFERROR(__xludf.DUMMYFUNCTION("""COMPUTED_VALUE"""),23.0)</f>
        <v>23</v>
      </c>
      <c r="I42" s="7"/>
      <c r="J42" s="5"/>
    </row>
    <row r="43">
      <c r="A43" s="5">
        <f>IFERROR(__xludf.DUMMYFUNCTION("""COMPUTED_VALUE"""),1132002.0)</f>
        <v>1132002</v>
      </c>
      <c r="B43" s="6" t="str">
        <f>IFERROR(__xludf.DUMMYFUNCTION("""COMPUTED_VALUE"""),"1132002111090201")</f>
        <v>1132002111090201</v>
      </c>
      <c r="C43" s="5" t="str">
        <f>IFERROR(__xludf.DUMMYFUNCTION("""COMPUTED_VALUE"""),"นมข้นหวาน (ครีมเทียมข้นหวาน) \ บรรจุกระป๋อง 385 กรัม \ ตราคาร์เนชั่น สูตรพร่องไขมัน")</f>
        <v>นมข้นหวาน (ครีมเทียมข้นหวาน) \ บรรจุกระป๋อง 385 กรัม \ ตราคาร์เนชั่น สูตรพร่องไขมัน</v>
      </c>
      <c r="D43" s="5">
        <f>IFERROR(__xludf.DUMMYFUNCTION("""COMPUTED_VALUE"""),1.0)</f>
        <v>1</v>
      </c>
      <c r="E43" s="5">
        <f>IFERROR(__xludf.DUMMYFUNCTION("""COMPUTED_VALUE"""),5.0)</f>
        <v>5</v>
      </c>
      <c r="F43" s="5">
        <f>IFERROR(__xludf.DUMMYFUNCTION("""COMPUTED_VALUE"""),8.850124070999E12)</f>
        <v>8850124070999</v>
      </c>
      <c r="G43" s="5" t="str">
        <f>IFERROR(__xludf.DUMMYFUNCTION("""COMPUTED_VALUE"""),"คาร์เนชั่นExtraพร่องไขมันสำหรับอาหาร385g")</f>
        <v>คาร์เนชั่นExtraพร่องไขมันสำหรับอาหาร385g</v>
      </c>
      <c r="H43" s="7">
        <f>IFERROR(__xludf.DUMMYFUNCTION("""COMPUTED_VALUE"""),26.0)</f>
        <v>26</v>
      </c>
      <c r="I43" s="7"/>
      <c r="J43" s="5"/>
    </row>
    <row r="44">
      <c r="A44" s="5">
        <f>IFERROR(__xludf.DUMMYFUNCTION("""COMPUTED_VALUE"""),1132002.0)</f>
        <v>1132002</v>
      </c>
      <c r="B44" s="6" t="str">
        <f>IFERROR(__xludf.DUMMYFUNCTION("""COMPUTED_VALUE"""),"1132002111050101")</f>
        <v>1132002111050101</v>
      </c>
      <c r="C44" s="5" t="str">
        <f>IFERROR(__xludf.DUMMYFUNCTION("""COMPUTED_VALUE"""),"นมข้นหวาน (ครีมเทียมข้นหวาน)\ บรรจุกระป๋อง 388 กรัม\ ตราคาร์เนชั่น")</f>
        <v>นมข้นหวาน (ครีมเทียมข้นหวาน)\ บรรจุกระป๋อง 388 กรัม\ ตราคาร์เนชั่น</v>
      </c>
      <c r="D44" s="5">
        <f>IFERROR(__xludf.DUMMYFUNCTION("""COMPUTED_VALUE"""),1.0)</f>
        <v>1</v>
      </c>
      <c r="E44" s="5">
        <f>IFERROR(__xludf.DUMMYFUNCTION("""COMPUTED_VALUE"""),6.0)</f>
        <v>6</v>
      </c>
      <c r="F44" s="5">
        <f>IFERROR(__xludf.DUMMYFUNCTION("""COMPUTED_VALUE"""),8.851012011315E12)</f>
        <v>8851012011315</v>
      </c>
      <c r="G44" s="5" t="str">
        <f>IFERROR(__xludf.DUMMYFUNCTION("""COMPUTED_VALUE"""),"คาร์เนชั่นครีมเทียมข้นหวาน388g")</f>
        <v>คาร์เนชั่นครีมเทียมข้นหวาน388g</v>
      </c>
      <c r="H44" s="7">
        <f>IFERROR(__xludf.DUMMYFUNCTION("""COMPUTED_VALUE"""),26.0)</f>
        <v>26</v>
      </c>
      <c r="I44" s="7"/>
      <c r="J44" s="5"/>
    </row>
    <row r="45">
      <c r="A45" s="5">
        <f>IFERROR(__xludf.DUMMYFUNCTION("""COMPUTED_VALUE"""),1132002.0)</f>
        <v>1132002</v>
      </c>
      <c r="B45" s="6" t="str">
        <f>IFERROR(__xludf.DUMMYFUNCTION("""COMPUTED_VALUE"""),"1132002111060801")</f>
        <v>1132002111060801</v>
      </c>
      <c r="C45" s="5" t="str">
        <f>IFERROR(__xludf.DUMMYFUNCTION("""COMPUTED_VALUE"""),"นมข้นหวาน \ บรรจุกระป๋อง 380 กรัม\ ตรา คาร์เนชั่น พลัส")</f>
        <v>นมข้นหวาน \ บรรจุกระป๋อง 380 กรัม\ ตรา คาร์เนชั่น พลัส</v>
      </c>
      <c r="D45" s="5">
        <f>IFERROR(__xludf.DUMMYFUNCTION("""COMPUTED_VALUE"""),1.0)</f>
        <v>1</v>
      </c>
      <c r="E45" s="5">
        <f>IFERROR(__xludf.DUMMYFUNCTION("""COMPUTED_VALUE"""),7.0)</f>
        <v>7</v>
      </c>
      <c r="F45" s="5">
        <f>IFERROR(__xludf.DUMMYFUNCTION("""COMPUTED_VALUE"""),8.85870560735E12)</f>
        <v>8858705607350</v>
      </c>
      <c r="G45" s="5" t="str">
        <f>IFERROR(__xludf.DUMMYFUNCTION("""COMPUTED_VALUE"""),"คาร์เนชั่นพลัสนมข้นหวาน380g")</f>
        <v>คาร์เนชั่นพลัสนมข้นหวาน380g</v>
      </c>
      <c r="H45" s="7">
        <f>IFERROR(__xludf.DUMMYFUNCTION("""COMPUTED_VALUE"""),28.0)</f>
        <v>28</v>
      </c>
      <c r="I45" s="7"/>
      <c r="J45" s="5"/>
    </row>
    <row r="46">
      <c r="A46" s="5">
        <f>IFERROR(__xludf.DUMMYFUNCTION("""COMPUTED_VALUE"""),1132003.0)</f>
        <v>1132003</v>
      </c>
      <c r="B46" s="6" t="str">
        <f>IFERROR(__xludf.DUMMYFUNCTION("""COMPUTED_VALUE"""),"1132003112020601")</f>
        <v>1132003112020601</v>
      </c>
      <c r="C46" s="5" t="str">
        <f>IFERROR(__xludf.DUMMYFUNCTION("""COMPUTED_VALUE"""),"นมผง ดัดแปลงสูตรต่อเนื่อง \ บรรจุกล่องกระดาษ 550 กรัม \ ตรา Hi-Q Prebio ProtecQ (ช่วงวัยที่ 2) DHA ARA Vitamin B12 Omega 3 6 9 GOS FOS")</f>
        <v>นมผง ดัดแปลงสูตรต่อเนื่อง \ บรรจุกล่องกระดาษ 550 กรัม \ ตรา Hi-Q Prebio ProtecQ (ช่วงวัยที่ 2) DHA ARA Vitamin B12 Omega 3 6 9 GOS FOS</v>
      </c>
      <c r="D46" s="5">
        <f>IFERROR(__xludf.DUMMYFUNCTION("""COMPUTED_VALUE"""),3.0)</f>
        <v>3</v>
      </c>
      <c r="E46" s="5">
        <f>IFERROR(__xludf.DUMMYFUNCTION("""COMPUTED_VALUE"""),1.0)</f>
        <v>1</v>
      </c>
      <c r="F46" s="5">
        <f>IFERROR(__xludf.DUMMYFUNCTION("""COMPUTED_VALUE"""),8.851359705021E12)</f>
        <v>8851359705021</v>
      </c>
      <c r="G46" s="5" t="str">
        <f>IFERROR(__xludf.DUMMYFUNCTION("""COMPUTED_VALUE"""),"ไฮคิวพรีไบโอโพรเทกนมผงสูตร2_550g")</f>
        <v>ไฮคิวพรีไบโอโพรเทกนมผงสูตร2_550g</v>
      </c>
      <c r="H46" s="7">
        <f>IFERROR(__xludf.DUMMYFUNCTION("""COMPUTED_VALUE"""),329.0)</f>
        <v>329</v>
      </c>
      <c r="I46" s="7"/>
      <c r="J46" s="5"/>
    </row>
    <row r="47">
      <c r="A47" s="5">
        <f>IFERROR(__xludf.DUMMYFUNCTION("""COMPUTED_VALUE"""),1132003.0)</f>
        <v>1132003</v>
      </c>
      <c r="B47" s="6" t="str">
        <f>IFERROR(__xludf.DUMMYFUNCTION("""COMPUTED_VALUE"""),"1132003112130401")</f>
        <v>1132003112130401</v>
      </c>
      <c r="C47" s="5" t="str">
        <f>IFERROR(__xludf.DUMMYFUNCTION("""COMPUTED_VALUE"""),"นมผง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ช่วงวัยที่2")</f>
        <v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v>
      </c>
      <c r="D47" s="5">
        <f>IFERROR(__xludf.DUMMYFUNCTION("""COMPUTED_VALUE"""),3.0)</f>
        <v>3</v>
      </c>
      <c r="E47" s="5">
        <f>IFERROR(__xludf.DUMMYFUNCTION("""COMPUTED_VALUE"""),2.0)</f>
        <v>2</v>
      </c>
      <c r="F47" s="5">
        <f>IFERROR(__xludf.DUMMYFUNCTION("""COMPUTED_VALUE"""),8.851005050062E12)</f>
        <v>8851005050062</v>
      </c>
      <c r="G47" s="5" t="str">
        <f>IFERROR(__xludf.DUMMYFUNCTION("""COMPUTED_VALUE"""),"เอส26โปรมิลนมผงสูตร2_500g")</f>
        <v>เอส26โปรมิลนมผงสูตร2_500g</v>
      </c>
      <c r="H47" s="7">
        <f>IFERROR(__xludf.DUMMYFUNCTION("""COMPUTED_VALUE"""),250.0)</f>
        <v>250</v>
      </c>
      <c r="I47" s="7"/>
      <c r="J47" s="5"/>
    </row>
    <row r="48">
      <c r="A48" s="5">
        <f>IFERROR(__xludf.DUMMYFUNCTION("""COMPUTED_VALUE"""),1132003.0)</f>
        <v>1132003</v>
      </c>
      <c r="B48" s="6" t="str">
        <f>IFERROR(__xludf.DUMMYFUNCTION("""COMPUTED_VALUE"""),"1132003112130103")</f>
        <v>1132003112130103</v>
      </c>
      <c r="C48" s="5" t="str">
        <f>IFERROR(__xludf.DUMMYFUNCTION("""COMPUTED_VALUE"""),"นมผง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สูตรวัยที่2")</f>
        <v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v>
      </c>
      <c r="D48" s="5">
        <f>IFERROR(__xludf.DUMMYFUNCTION("""COMPUTED_VALUE"""),2.0)</f>
        <v>2</v>
      </c>
      <c r="E48" s="5">
        <f>IFERROR(__xludf.DUMMYFUNCTION("""COMPUTED_VALUE"""),3.0)</f>
        <v>3</v>
      </c>
      <c r="F48" s="5">
        <f>IFERROR(__xludf.DUMMYFUNCTION("""COMPUTED_VALUE"""),8.712045012024E12)</f>
        <v>8712045012024</v>
      </c>
      <c r="G48" s="5" t="str">
        <f>IFERROR(__xludf.DUMMYFUNCTION("""COMPUTED_VALUE"""),"เอนฟาแล็คสมาร์ทพลัสนมผงสูตร2_500g")</f>
        <v>เอนฟาแล็คสมาร์ทพลัสนมผงสูตร2_500g</v>
      </c>
      <c r="H48" s="7">
        <f>IFERROR(__xludf.DUMMYFUNCTION("""COMPUTED_VALUE"""),286.0)</f>
        <v>286</v>
      </c>
      <c r="I48" s="7"/>
      <c r="J48" s="5"/>
    </row>
    <row r="49">
      <c r="A49" s="5">
        <f>IFERROR(__xludf.DUMMYFUNCTION("""COMPUTED_VALUE"""),1132003.0)</f>
        <v>1132003</v>
      </c>
      <c r="B49" s="6" t="str">
        <f>IFERROR(__xludf.DUMMYFUNCTION("""COMPUTED_VALUE"""),"1132003213020103")</f>
        <v>1132003213020103</v>
      </c>
      <c r="C49" s="5" t="str">
        <f>IFERROR(__xludf.DUMMYFUNCTION("""COMPUTED_VALUE"""),"นมผง ชนิดจืด\ บรรจุกล่อง 550 กรัม\ ตรา ดูเม็กซ์ ดูโปร (Dumex Dupro ) DualFibers DHA DualProteins IRON PLUS")</f>
        <v>นมผง ชนิดจืด\ บรรจุกล่อง 550 กรัม\ ตรา ดูเม็กซ์ ดูโปร (Dumex Dupro ) DualFibers DHA DualProteins IRON PLUS</v>
      </c>
      <c r="D49" s="5">
        <f>IFERROR(__xludf.DUMMYFUNCTION("""COMPUTED_VALUE"""),1.0)</f>
        <v>1</v>
      </c>
      <c r="E49" s="5">
        <f>IFERROR(__xludf.DUMMYFUNCTION("""COMPUTED_VALUE"""),6.0)</f>
        <v>6</v>
      </c>
      <c r="F49" s="5">
        <f>IFERROR(__xludf.DUMMYFUNCTION("""COMPUTED_VALUE"""),8.851359700842E12)</f>
        <v>8851359700842</v>
      </c>
      <c r="G49" s="5" t="str">
        <f>IFERROR(__xludf.DUMMYFUNCTION("""COMPUTED_VALUE"""),"ดูเม็กซ์ดูโปรนมผงสูตร2_550g")</f>
        <v>ดูเม็กซ์ดูโปรนมผงสูตร2_550g</v>
      </c>
      <c r="H49" s="7">
        <f>IFERROR(__xludf.DUMMYFUNCTION("""COMPUTED_VALUE"""),241.0)</f>
        <v>241</v>
      </c>
      <c r="I49" s="7"/>
      <c r="J49" s="5"/>
    </row>
    <row r="50">
      <c r="A50" s="5">
        <f>IFERROR(__xludf.DUMMYFUNCTION("""COMPUTED_VALUE"""),1132003.0)</f>
        <v>1132003</v>
      </c>
      <c r="B50" s="6" t="str">
        <f>IFERROR(__xludf.DUMMYFUNCTION("""COMPUTED_VALUE"""),"1132003112130201")</f>
        <v>1132003112130201</v>
      </c>
      <c r="C50" s="5" t="str">
        <f>IFERROR(__xludf.DUMMYFUNCTION("""COMPUTED_VALUE"""),"นมผง ดัดแปลงสูตรต่อเนื่อง \ บรรจุกล่องกระดาษ 500 กรัม \ ตราหมี NESTLE BEBE (มีแคลเซียม จุลินทรีย์ที่มีประโยชน์ LPR DHA 35 มก./100 กรัม) สูตร 2 ตั้งแต่ 6 เดือนถึงครบ 3 ปี")</f>
        <v>นมผง ดัดแปลงสูตรต่อเนื่อง \ บรรจุกล่องกระดาษ 500 กรัม \ ตราหมี NESTLE BEBE (มีแคลเซียม จุลินทรีย์ที่มีประโยชน์ LPR DHA 35 มก./100 กรัม) สูตร 2 ตั้งแต่ 6 เดือนถึงครบ 3 ปี</v>
      </c>
      <c r="D50" s="5">
        <f>IFERROR(__xludf.DUMMYFUNCTION("""COMPUTED_VALUE"""),1.0)</f>
        <v>1</v>
      </c>
      <c r="E50" s="5">
        <f>IFERROR(__xludf.DUMMYFUNCTION("""COMPUTED_VALUE"""),8.0)</f>
        <v>8</v>
      </c>
      <c r="F50" s="5">
        <f>IFERROR(__xludf.DUMMYFUNCTION("""COMPUTED_VALUE"""),8.850125071421E12)</f>
        <v>8850125071421</v>
      </c>
      <c r="G50" s="5" t="str">
        <f>IFERROR(__xludf.DUMMYFUNCTION("""COMPUTED_VALUE"""),"ตราหมีเบบีนมผงสูตร2_500g")</f>
        <v>ตราหมีเบบีนมผงสูตร2_500g</v>
      </c>
      <c r="H50" s="7">
        <f>IFERROR(__xludf.DUMMYFUNCTION("""COMPUTED_VALUE"""),231.0)</f>
        <v>231</v>
      </c>
      <c r="I50" s="7"/>
      <c r="J50" s="5"/>
    </row>
    <row r="51">
      <c r="A51" s="5">
        <f>IFERROR(__xludf.DUMMYFUNCTION("""COMPUTED_VALUE"""),1132004.0)</f>
        <v>1132004</v>
      </c>
      <c r="B51" s="6" t="str">
        <f>IFERROR(__xludf.DUMMYFUNCTION("""COMPUTED_VALUE"""),"1132004331030103")</f>
        <v>1132004331030103</v>
      </c>
      <c r="C51" s="5" t="str">
        <f>IFERROR(__xludf.DUMMYFUNCTION("""COMPUTED_VALUE"""),"โยเกิร์ต รสออริจินัล \บรรจุถ้วยพลาสติก 135 กรัม \ ตราดัชชี่")</f>
        <v>โยเกิร์ต รสออริจินัล \บรรจุถ้วยพลาสติก 135 กรัม \ ตราดัชชี่</v>
      </c>
      <c r="D51" s="5">
        <f>IFERROR(__xludf.DUMMYFUNCTION("""COMPUTED_VALUE"""),2.0)</f>
        <v>2</v>
      </c>
      <c r="E51" s="5">
        <f>IFERROR(__xludf.DUMMYFUNCTION("""COMPUTED_VALUE"""),3.0)</f>
        <v>3</v>
      </c>
      <c r="F51" s="5">
        <f>IFERROR(__xludf.DUMMYFUNCTION("""COMPUTED_VALUE"""),8.851717020087E12)</f>
        <v>8851717020087</v>
      </c>
      <c r="G51" s="5" t="str">
        <f>IFERROR(__xludf.DUMMYFUNCTION("""COMPUTED_VALUE"""),"ดัชชี่โยเกิร์ตธรรมชาติ135g")</f>
        <v>ดัชชี่โยเกิร์ตธรรมชาติ135g</v>
      </c>
      <c r="H51" s="7">
        <f>IFERROR(__xludf.DUMMYFUNCTION("""COMPUTED_VALUE"""),15.0)</f>
        <v>15</v>
      </c>
      <c r="I51" s="7">
        <f>IFERROR(__xludf.DUMMYFUNCTION("""COMPUTED_VALUE"""),14.0)</f>
        <v>14</v>
      </c>
      <c r="J51" s="5"/>
    </row>
    <row r="52">
      <c r="A52" s="5">
        <f>IFERROR(__xludf.DUMMYFUNCTION("""COMPUTED_VALUE"""),1132004.0)</f>
        <v>1132004</v>
      </c>
      <c r="B52" s="6" t="str">
        <f>IFERROR(__xludf.DUMMYFUNCTION("""COMPUTED_VALUE"""),"1132004331030101")</f>
        <v>1132004331030101</v>
      </c>
      <c r="C52" s="5" t="str">
        <f>IFERROR(__xludf.DUMMYFUNCTION("""COMPUTED_VALUE"""),"โยเกิร์ต รสสตอเบอรี่ \บรรจุถ้วยพลาสติก 135 กรัม \ ตราดัชชี่")</f>
        <v>โยเกิร์ต รสสตอเบอรี่ \บรรจุถ้วยพลาสติก 135 กรัม \ ตราดัชชี่</v>
      </c>
      <c r="D52" s="5">
        <f>IFERROR(__xludf.DUMMYFUNCTION("""COMPUTED_VALUE"""),1.0)</f>
        <v>1</v>
      </c>
      <c r="E52" s="5">
        <f>IFERROR(__xludf.DUMMYFUNCTION("""COMPUTED_VALUE"""),5.0)</f>
        <v>5</v>
      </c>
      <c r="F52" s="5">
        <f>IFERROR(__xludf.DUMMYFUNCTION("""COMPUTED_VALUE"""),8.851717020117E12)</f>
        <v>8851717020117</v>
      </c>
      <c r="G52" s="5" t="str">
        <f>IFERROR(__xludf.DUMMYFUNCTION("""COMPUTED_VALUE"""),"ดัชชี่โยเกิร์ตสตรอเบอรี่135g")</f>
        <v>ดัชชี่โยเกิร์ตสตรอเบอรี่135g</v>
      </c>
      <c r="H52" s="7">
        <f>IFERROR(__xludf.DUMMYFUNCTION("""COMPUTED_VALUE"""),15.0)</f>
        <v>15</v>
      </c>
      <c r="I52" s="7">
        <f>IFERROR(__xludf.DUMMYFUNCTION("""COMPUTED_VALUE"""),14.0)</f>
        <v>14</v>
      </c>
      <c r="J52" s="5"/>
    </row>
    <row r="53">
      <c r="A53" s="5">
        <f>IFERROR(__xludf.DUMMYFUNCTION("""COMPUTED_VALUE"""),1132004.0)</f>
        <v>1132004</v>
      </c>
      <c r="B53" s="6" t="str">
        <f>IFERROR(__xludf.DUMMYFUNCTION("""COMPUTED_VALUE"""),"1132004331030102")</f>
        <v>1132004331030102</v>
      </c>
      <c r="C53" s="5" t="str">
        <f>IFERROR(__xludf.DUMMYFUNCTION("""COMPUTED_VALUE"""),"โยเกิร์ต รสวุ้นมะพร้าว \บรรจุถ้วยพลาสติก 135 กรัม \ ตราดัชชี่")</f>
        <v>โยเกิร์ต รสวุ้นมะพร้าว \บรรจุถ้วยพลาสติก 135 กรัม \ ตราดัชชี่</v>
      </c>
      <c r="D53" s="5">
        <f>IFERROR(__xludf.DUMMYFUNCTION("""COMPUTED_VALUE"""),1.0)</f>
        <v>1</v>
      </c>
      <c r="E53" s="5">
        <f>IFERROR(__xludf.DUMMYFUNCTION("""COMPUTED_VALUE"""),6.0)</f>
        <v>6</v>
      </c>
      <c r="F53" s="5">
        <f>IFERROR(__xludf.DUMMYFUNCTION("""COMPUTED_VALUE"""),8.851717020148E12)</f>
        <v>8851717020148</v>
      </c>
      <c r="G53" s="5" t="str">
        <f>IFERROR(__xludf.DUMMYFUNCTION("""COMPUTED_VALUE"""),"ดัชชี่โยเกิร์ตวุ้นมะพร้าว135g")</f>
        <v>ดัชชี่โยเกิร์ตวุ้นมะพร้าว135g</v>
      </c>
      <c r="H53" s="7">
        <f>IFERROR(__xludf.DUMMYFUNCTION("""COMPUTED_VALUE"""),15.0)</f>
        <v>15</v>
      </c>
      <c r="I53" s="7">
        <f>IFERROR(__xludf.DUMMYFUNCTION("""COMPUTED_VALUE"""),14.0)</f>
        <v>14</v>
      </c>
      <c r="J53" s="5"/>
    </row>
    <row r="54">
      <c r="A54" s="5">
        <f>IFERROR(__xludf.DUMMYFUNCTION("""COMPUTED_VALUE"""),1132006.0)</f>
        <v>1132006</v>
      </c>
      <c r="B54" s="6" t="str">
        <f>IFERROR(__xludf.DUMMYFUNCTION("""COMPUTED_VALUE"""),"1132006112020202")</f>
        <v>1132006112020202</v>
      </c>
      <c r="C54" s="5" t="str">
        <f>IFERROR(__xludf.DUMMYFUNCTION("""COMPUTED_VALUE"""),"นมถั่วเหลือง บรรจุแพ็ค 6 กล่อง \ขนาด 200 ซีซี\ ตราแลตตาซอย รสหวาน")</f>
        <v>นมถั่วเหลือง บรรจุแพ็ค 6 กล่อง \ขนาด 200 ซีซี\ ตราแลตตาซอย รสหวาน</v>
      </c>
      <c r="D54" s="5">
        <f>IFERROR(__xludf.DUMMYFUNCTION("""COMPUTED_VALUE"""),1.0)</f>
        <v>1</v>
      </c>
      <c r="E54" s="5">
        <f>IFERROR(__xludf.DUMMYFUNCTION("""COMPUTED_VALUE"""),3.0)</f>
        <v>3</v>
      </c>
      <c r="F54" s="5">
        <f>IFERROR(__xludf.DUMMYFUNCTION("""COMPUTED_VALUE"""),8.850267122326E12)</f>
        <v>8850267122326</v>
      </c>
      <c r="G54" s="5" t="str">
        <f>IFERROR(__xludf.DUMMYFUNCTION("""COMPUTED_VALUE"""),"แลคตาซอยรสหวาน200mlx6")</f>
        <v>แลคตาซอยรสหวาน200mlx6</v>
      </c>
      <c r="H54" s="7">
        <f>IFERROR(__xludf.DUMMYFUNCTION("""COMPUTED_VALUE"""),12.0)</f>
        <v>12</v>
      </c>
      <c r="I54" s="7"/>
      <c r="J54" s="5"/>
    </row>
    <row r="55">
      <c r="A55" s="5">
        <f>IFERROR(__xludf.DUMMYFUNCTION("""COMPUTED_VALUE"""),1132006.0)</f>
        <v>1132006</v>
      </c>
      <c r="B55" s="6" t="str">
        <f>IFERROR(__xludf.DUMMYFUNCTION("""COMPUTED_VALUE"""),"1132006112060102")</f>
        <v>1132006112060102</v>
      </c>
      <c r="C55" s="5" t="str">
        <f>IFERROR(__xludf.DUMMYFUNCTION("""COMPUTED_VALUE"""),"นมถั่วเหลือง บรรจุแพ็ค 6 กล่อง \ ขนาด 125 ซีซี \ตราแล็คตาซอย รสหวาน")</f>
        <v>นมถั่วเหลือง บรรจุแพ็ค 6 กล่อง \ ขนาด 125 ซีซี \ตราแล็คตาซอย รสหวาน</v>
      </c>
      <c r="D55" s="5">
        <f>IFERROR(__xludf.DUMMYFUNCTION("""COMPUTED_VALUE"""),1.0)</f>
        <v>1</v>
      </c>
      <c r="E55" s="5">
        <f>IFERROR(__xludf.DUMMYFUNCTION("""COMPUTED_VALUE"""),5.0)</f>
        <v>5</v>
      </c>
      <c r="F55" s="5">
        <f>IFERROR(__xludf.DUMMYFUNCTION("""COMPUTED_VALUE"""),8.850267112624E12)</f>
        <v>8850267112624</v>
      </c>
      <c r="G55" s="5" t="str">
        <f>IFERROR(__xludf.DUMMYFUNCTION("""COMPUTED_VALUE"""),"แลคตาซอยรสหวาน125mlx6")</f>
        <v>แลคตาซอยรสหวาน125mlx6</v>
      </c>
      <c r="H55" s="7">
        <f>IFERROR(__xludf.DUMMYFUNCTION("""COMPUTED_VALUE"""),6.0)</f>
        <v>6</v>
      </c>
      <c r="I55" s="7"/>
      <c r="J55" s="5"/>
    </row>
    <row r="56">
      <c r="A56" s="5">
        <f>IFERROR(__xludf.DUMMYFUNCTION("""COMPUTED_VALUE"""),1132006.0)</f>
        <v>1132006</v>
      </c>
      <c r="B56" s="6" t="str">
        <f>IFERROR(__xludf.DUMMYFUNCTION("""COMPUTED_VALUE"""),"1132006113010102")</f>
        <v>1132006113010102</v>
      </c>
      <c r="C56" s="5" t="str">
        <f>IFERROR(__xludf.DUMMYFUNCTION("""COMPUTED_VALUE"""),"นมถั่วเหลือง บรรจุแพ็ค 4 กล่อง \ขนาด180 ซีซี \ ตราดีน่า สูตรงาดำ 2 เท่า")</f>
        <v>นมถั่วเหลือง บรรจุแพ็ค 4 กล่อง \ขนาด180 ซีซี \ ตราดีน่า สูตรงาดำ 2 เท่า</v>
      </c>
      <c r="D56" s="5">
        <f>IFERROR(__xludf.DUMMYFUNCTION("""COMPUTED_VALUE"""),1.0)</f>
        <v>1</v>
      </c>
      <c r="E56" s="5">
        <f>IFERROR(__xludf.DUMMYFUNCTION("""COMPUTED_VALUE"""),6.0)</f>
        <v>6</v>
      </c>
      <c r="F56" s="5">
        <f>IFERROR(__xludf.DUMMYFUNCTION("""COMPUTED_VALUE"""),8.853002080066E12)</f>
        <v>8853002080066</v>
      </c>
      <c r="G56" s="5" t="str">
        <f>IFERROR(__xludf.DUMMYFUNCTION("""COMPUTED_VALUE"""),"ดีน่าUHTผสมงาดำ180mlx4")</f>
        <v>ดีน่าUHTผสมงาดำ180mlx4</v>
      </c>
      <c r="H56" s="7">
        <f>IFERROR(__xludf.DUMMYFUNCTION("""COMPUTED_VALUE"""),10.0)</f>
        <v>10</v>
      </c>
      <c r="I56" s="7"/>
      <c r="J56" s="5"/>
    </row>
    <row r="57">
      <c r="A57" s="5">
        <f>IFERROR(__xludf.DUMMYFUNCTION("""COMPUTED_VALUE"""),1142202.0)</f>
        <v>1142202</v>
      </c>
      <c r="B57" s="6" t="str">
        <f>IFERROR(__xludf.DUMMYFUNCTION("""COMPUTED_VALUE"""),"1142202111010101")</f>
        <v>1142202111010101</v>
      </c>
      <c r="C57" s="5" t="str">
        <f>IFERROR(__xludf.DUMMYFUNCTION("""COMPUTED_VALUE"""),"เงาะกระป๋อง \บรรจุกระป๋อง ฝาดึง 565 กรัม\ ตรามาลี")</f>
        <v>เงาะกระป๋อง \บรรจุกระป๋อง ฝาดึง 565 กรัม\ ตรามาลี</v>
      </c>
      <c r="D57" s="5">
        <f>IFERROR(__xludf.DUMMYFUNCTION("""COMPUTED_VALUE"""),3.0)</f>
        <v>3</v>
      </c>
      <c r="E57" s="5">
        <f>IFERROR(__xludf.DUMMYFUNCTION("""COMPUTED_VALUE"""),1.0)</f>
        <v>1</v>
      </c>
      <c r="F57" s="5"/>
      <c r="G57" s="5" t="str">
        <f>IFERROR(__xludf.DUMMYFUNCTION("""COMPUTED_VALUE"""),"มาลีเงาะในน้ำเชื่อม20oz")</f>
        <v>มาลีเงาะในน้ำเชื่อม20oz</v>
      </c>
      <c r="H57" s="7">
        <f>IFERROR(__xludf.DUMMYFUNCTION("""COMPUTED_VALUE"""),105.0)</f>
        <v>105</v>
      </c>
      <c r="I57" s="7"/>
      <c r="J57" s="5"/>
    </row>
    <row r="58">
      <c r="A58" s="5">
        <f>IFERROR(__xludf.DUMMYFUNCTION("""COMPUTED_VALUE"""),1142202.0)</f>
        <v>1142202</v>
      </c>
      <c r="B58" s="6" t="str">
        <f>IFERROR(__xludf.DUMMYFUNCTION("""COMPUTED_VALUE"""),"1142202111010201")</f>
        <v>1142202111010201</v>
      </c>
      <c r="C58" s="5" t="str">
        <f>IFERROR(__xludf.DUMMYFUNCTION("""COMPUTED_VALUE"""),"เงาะกระป๋อง\ บรรจุกระป๋อง ฝาดึง 565 กรัม \ตรา UFC")</f>
        <v>เงาะกระป๋อง\ บรรจุกระป๋อง ฝาดึง 565 กรัม \ตรา UFC</v>
      </c>
      <c r="D58" s="5">
        <f>IFERROR(__xludf.DUMMYFUNCTION("""COMPUTED_VALUE"""),3.0)</f>
        <v>3</v>
      </c>
      <c r="E58" s="5">
        <f>IFERROR(__xludf.DUMMYFUNCTION("""COMPUTED_VALUE"""),2.0)</f>
        <v>2</v>
      </c>
      <c r="F58" s="5">
        <f>IFERROR(__xludf.DUMMYFUNCTION("""COMPUTED_VALUE"""),8.850025124616E12)</f>
        <v>8850025124616</v>
      </c>
      <c r="G58" s="5" t="str">
        <f>IFERROR(__xludf.DUMMYFUNCTION("""COMPUTED_VALUE"""),"UFCเงาะในน้ำเชื่อม20oz")</f>
        <v>UFCเงาะในน้ำเชื่อม20oz</v>
      </c>
      <c r="H58" s="7">
        <f>IFERROR(__xludf.DUMMYFUNCTION("""COMPUTED_VALUE"""),97.0)</f>
        <v>97</v>
      </c>
      <c r="I58" s="7"/>
      <c r="J58" s="5"/>
    </row>
    <row r="59">
      <c r="A59" s="5">
        <f>IFERROR(__xludf.DUMMYFUNCTION("""COMPUTED_VALUE"""),1152101.0)</f>
        <v>1152101</v>
      </c>
      <c r="B59" s="6" t="str">
        <f>IFERROR(__xludf.DUMMYFUNCTION("""COMPUTED_VALUE"""),"1152101111010101")</f>
        <v>1152101111010101</v>
      </c>
      <c r="C59" s="5" t="str">
        <f>IFERROR(__xludf.DUMMYFUNCTION("""COMPUTED_VALUE"""),"น้ำมันถั่วเหลืองบริสุทธิ์ \บรรจุขวดพลาสติก 1 ลิตร \ตราองุ่น")</f>
        <v>น้ำมันถั่วเหลืองบริสุทธิ์ \บรรจุขวดพลาสติก 1 ลิตร \ตราองุ่น</v>
      </c>
      <c r="D59" s="5">
        <f>IFERROR(__xludf.DUMMYFUNCTION("""COMPUTED_VALUE"""),4.0)</f>
        <v>4</v>
      </c>
      <c r="E59" s="5">
        <f>IFERROR(__xludf.DUMMYFUNCTION("""COMPUTED_VALUE"""),1.0)</f>
        <v>1</v>
      </c>
      <c r="F59" s="5">
        <f>IFERROR(__xludf.DUMMYFUNCTION("""COMPUTED_VALUE"""),8.850210000039E12)</f>
        <v>8850210000039</v>
      </c>
      <c r="G59" s="5" t="str">
        <f>IFERROR(__xludf.DUMMYFUNCTION("""COMPUTED_VALUE"""),"องุ่นน้ำมันถั่วเหลืองขวด 1L")</f>
        <v>องุ่นน้ำมันถั่วเหลืองขวด 1L</v>
      </c>
      <c r="H59" s="7">
        <f>IFERROR(__xludf.DUMMYFUNCTION("""COMPUTED_VALUE"""),60.0)</f>
        <v>60</v>
      </c>
      <c r="I59" s="7"/>
      <c r="J59" s="5" t="str">
        <f>IFERROR(__xludf.DUMMYFUNCTION("""COMPUTED_VALUE"""),"PROMOTION 7DAY รอบ 1-7 ต.ค. 69")</f>
        <v>PROMOTION 7DAY รอบ 1-7 ต.ค. 69</v>
      </c>
    </row>
    <row r="60">
      <c r="A60" s="5">
        <f>IFERROR(__xludf.DUMMYFUNCTION("""COMPUTED_VALUE"""),1152101.0)</f>
        <v>1152101</v>
      </c>
      <c r="B60" s="6" t="str">
        <f>IFERROR(__xludf.DUMMYFUNCTION("""COMPUTED_VALUE"""),"1152101211010101")</f>
        <v>1152101211010101</v>
      </c>
      <c r="C60" s="5" t="str">
        <f>IFERROR(__xludf.DUMMYFUNCTION("""COMPUTED_VALUE"""),"น้ำมันปาล์ม บริสุทธิ์ \บรรจุขวดพลาสติก 1 ลิตร \ตรามรกต")</f>
        <v>น้ำมันปาล์ม บริสุทธิ์ \บรรจุขวดพลาสติก 1 ลิตร \ตรามรกต</v>
      </c>
      <c r="D60" s="5">
        <f>IFERROR(__xludf.DUMMYFUNCTION("""COMPUTED_VALUE"""),4.0)</f>
        <v>4</v>
      </c>
      <c r="E60" s="5">
        <f>IFERROR(__xludf.DUMMYFUNCTION("""COMPUTED_VALUE"""),2.0)</f>
        <v>2</v>
      </c>
      <c r="F60" s="5">
        <f>IFERROR(__xludf.DUMMYFUNCTION("""COMPUTED_VALUE"""),8.850154000041E12)</f>
        <v>8850154000041</v>
      </c>
      <c r="G60" s="5" t="str">
        <f>IFERROR(__xludf.DUMMYFUNCTION("""COMPUTED_VALUE"""),"มรกตน้ำมันปาล์มขวด 1L")</f>
        <v>มรกตน้ำมันปาล์มขวด 1L</v>
      </c>
      <c r="H60" s="7">
        <f>IFERROR(__xludf.DUMMYFUNCTION("""COMPUTED_VALUE"""),52.0)</f>
        <v>52</v>
      </c>
      <c r="I60" s="7"/>
      <c r="J60" s="5" t="str">
        <f>IFERROR(__xludf.DUMMYFUNCTION("""COMPUTED_VALUE"""),"PROMOTION 7DAY รอบ 1-7 ต.ค. 69")</f>
        <v>PROMOTION 7DAY รอบ 1-7 ต.ค. 69</v>
      </c>
    </row>
    <row r="61">
      <c r="A61" s="5">
        <f>IFERROR(__xludf.DUMMYFUNCTION("""COMPUTED_VALUE"""),1152101.0)</f>
        <v>1152101</v>
      </c>
      <c r="B61" s="6" t="str">
        <f>IFERROR(__xludf.DUMMYFUNCTION("""COMPUTED_VALUE"""),"1152101111010301")</f>
        <v>1152101111010301</v>
      </c>
      <c r="C61" s="5" t="str">
        <f>IFERROR(__xludf.DUMMYFUNCTION("""COMPUTED_VALUE"""),"น้ำมันถั่วเหลืองบริสุทธิ์ \บรรจุขวดพลาสติก 1 ลิตร\ ตรากุ๊ก")</f>
        <v>น้ำมันถั่วเหลืองบริสุทธิ์ \บรรจุขวดพลาสติก 1 ลิตร\ ตรากุ๊ก</v>
      </c>
      <c r="D61" s="5">
        <f>IFERROR(__xludf.DUMMYFUNCTION("""COMPUTED_VALUE"""),3.0)</f>
        <v>3</v>
      </c>
      <c r="E61" s="5">
        <f>IFERROR(__xludf.DUMMYFUNCTION("""COMPUTED_VALUE"""),3.0)</f>
        <v>3</v>
      </c>
      <c r="F61" s="5">
        <f>IFERROR(__xludf.DUMMYFUNCTION("""COMPUTED_VALUE"""),8.850180010045E12)</f>
        <v>8850180010045</v>
      </c>
      <c r="G61" s="5" t="str">
        <f>IFERROR(__xludf.DUMMYFUNCTION("""COMPUTED_VALUE"""),"กุ๊กน้ำมันถั่วเหลืองขวด 1L")</f>
        <v>กุ๊กน้ำมันถั่วเหลืองขวด 1L</v>
      </c>
      <c r="H61" s="7">
        <f>IFERROR(__xludf.DUMMYFUNCTION("""COMPUTED_VALUE"""),58.0)</f>
        <v>58</v>
      </c>
      <c r="I61" s="7"/>
      <c r="J61" s="5" t="str">
        <f>IFERROR(__xludf.DUMMYFUNCTION("""COMPUTED_VALUE"""),"PROMOTION 7DAY รอบ 1-7 ต.ค. 69")</f>
        <v>PROMOTION 7DAY รอบ 1-7 ต.ค. 69</v>
      </c>
    </row>
    <row r="62">
      <c r="A62" s="5">
        <f>IFERROR(__xludf.DUMMYFUNCTION("""COMPUTED_VALUE"""),1152101.0)</f>
        <v>1152101</v>
      </c>
      <c r="B62" s="6" t="str">
        <f>IFERROR(__xludf.DUMMYFUNCTION("""COMPUTED_VALUE"""),"1152101211010201")</f>
        <v>1152101211010201</v>
      </c>
      <c r="C62" s="5" t="str">
        <f>IFERROR(__xludf.DUMMYFUNCTION("""COMPUTED_VALUE"""),"น้ำมันปาล์ม บริสุทธิ์ \บรรจุขวดพลาสติก 1 ลิตร \ ตราหยก")</f>
        <v>น้ำมันปาล์ม บริสุทธิ์ \บรรจุขวดพลาสติก 1 ลิตร \ ตราหยก</v>
      </c>
      <c r="D62" s="5">
        <f>IFERROR(__xludf.DUMMYFUNCTION("""COMPUTED_VALUE"""),2.0)</f>
        <v>2</v>
      </c>
      <c r="E62" s="5">
        <f>IFERROR(__xludf.DUMMYFUNCTION("""COMPUTED_VALUE"""),4.0)</f>
        <v>4</v>
      </c>
      <c r="F62" s="5">
        <f>IFERROR(__xludf.DUMMYFUNCTION("""COMPUTED_VALUE"""),8.850581111044E12)</f>
        <v>8850581111044</v>
      </c>
      <c r="G62" s="5" t="str">
        <f>IFERROR(__xludf.DUMMYFUNCTION("""COMPUTED_VALUE"""),"หยกน้ำมันปาล์มขวด 1L")</f>
        <v>หยกน้ำมันปาล์มขวด 1L</v>
      </c>
      <c r="H62" s="7">
        <f>IFERROR(__xludf.DUMMYFUNCTION("""COMPUTED_VALUE"""),51.0)</f>
        <v>51</v>
      </c>
      <c r="I62" s="7"/>
      <c r="J62" s="5"/>
    </row>
    <row r="63">
      <c r="A63" s="5">
        <f>IFERROR(__xludf.DUMMYFUNCTION("""COMPUTED_VALUE"""),1152101.0)</f>
        <v>1152101</v>
      </c>
      <c r="B63" s="6" t="str">
        <f>IFERROR(__xludf.DUMMYFUNCTION("""COMPUTED_VALUE"""),"1152101211011101")</f>
        <v>1152101211011101</v>
      </c>
      <c r="C63" s="5" t="str">
        <f>IFERROR(__xludf.DUMMYFUNCTION("""COMPUTED_VALUE"""),"น้ำมันปาล์ม บริสุทธิ์\ บรรจุขวดพลาสติก 1 ลิตร\ ตราทับทิม")</f>
        <v>น้ำมันปาล์ม บริสุทธิ์\ บรรจุขวดพลาสติก 1 ลิตร\ ตราทับทิม</v>
      </c>
      <c r="D63" s="5">
        <f>IFERROR(__xludf.DUMMYFUNCTION("""COMPUTED_VALUE"""),2.0)</f>
        <v>2</v>
      </c>
      <c r="E63" s="5">
        <f>IFERROR(__xludf.DUMMYFUNCTION("""COMPUTED_VALUE"""),5.0)</f>
        <v>5</v>
      </c>
      <c r="F63" s="5">
        <f>IFERROR(__xludf.DUMMYFUNCTION("""COMPUTED_VALUE"""),8.858776300259E12)</f>
        <v>8858776300259</v>
      </c>
      <c r="G63" s="5" t="str">
        <f>IFERROR(__xludf.DUMMYFUNCTION("""COMPUTED_VALUE"""),"ทับทิมน้ำมันปาล์มขวด 1L")</f>
        <v>ทับทิมน้ำมันปาล์มขวด 1L</v>
      </c>
      <c r="H63" s="7">
        <f>IFERROR(__xludf.DUMMYFUNCTION("""COMPUTED_VALUE"""),51.0)</f>
        <v>51</v>
      </c>
      <c r="I63" s="7"/>
      <c r="J63" s="5"/>
    </row>
    <row r="64">
      <c r="A64" s="5">
        <f>IFERROR(__xludf.DUMMYFUNCTION("""COMPUTED_VALUE"""),1152101.0)</f>
        <v>1152101</v>
      </c>
      <c r="B64" s="6" t="str">
        <f>IFERROR(__xludf.DUMMYFUNCTION("""COMPUTED_VALUE"""),"1152101111010401")</f>
        <v>1152101111010401</v>
      </c>
      <c r="C64" s="5" t="str">
        <f>IFERROR(__xludf.DUMMYFUNCTION("""COMPUTED_VALUE"""),"น้ำมันถั่วเหลืองบริสุทธิ์ \บรรจุขวดพลาสติก 1 ลิตร \ตรามรกต")</f>
        <v>น้ำมันถั่วเหลืองบริสุทธิ์ \บรรจุขวดพลาสติก 1 ลิตร \ตรามรกต</v>
      </c>
      <c r="D64" s="5">
        <f>IFERROR(__xludf.DUMMYFUNCTION("""COMPUTED_VALUE"""),1.0)</f>
        <v>1</v>
      </c>
      <c r="E64" s="5">
        <f>IFERROR(__xludf.DUMMYFUNCTION("""COMPUTED_VALUE"""),6.0)</f>
        <v>6</v>
      </c>
      <c r="F64" s="5">
        <f>IFERROR(__xludf.DUMMYFUNCTION("""COMPUTED_VALUE"""),8.850154051043E12)</f>
        <v>8850154051043</v>
      </c>
      <c r="G64" s="5" t="str">
        <f>IFERROR(__xludf.DUMMYFUNCTION("""COMPUTED_VALUE"""),"มรกตน้ำมันถั่วเหลืองขวด1L")</f>
        <v>มรกตน้ำมันถั่วเหลืองขวด1L</v>
      </c>
      <c r="H64" s="7">
        <f>IFERROR(__xludf.DUMMYFUNCTION("""COMPUTED_VALUE"""),58.0)</f>
        <v>58</v>
      </c>
      <c r="I64" s="7"/>
      <c r="J64" s="5" t="str">
        <f>IFERROR(__xludf.DUMMYFUNCTION("""COMPUTED_VALUE"""),"PROMOTION 7DAY รอบ 1-7 ต.ค. 69")</f>
        <v>PROMOTION 7DAY รอบ 1-7 ต.ค. 69</v>
      </c>
    </row>
    <row r="65">
      <c r="A65" s="5">
        <f>IFERROR(__xludf.DUMMYFUNCTION("""COMPUTED_VALUE"""),1152101.0)</f>
        <v>1152101</v>
      </c>
      <c r="B65" s="6" t="str">
        <f>IFERROR(__xludf.DUMMYFUNCTION("""COMPUTED_VALUE"""),"1152101111011001")</f>
        <v>1152101111011001</v>
      </c>
      <c r="C65" s="5" t="str">
        <f>IFERROR(__xludf.DUMMYFUNCTION("""COMPUTED_VALUE"""),"น้ำมันถั่วเหลืองบริสุทธิ์ \บรรจุขวดพลาสติก 1 ลิตร \ตราหยก")</f>
        <v>น้ำมันถั่วเหลืองบริสุทธิ์ \บรรจุขวดพลาสติก 1 ลิตร \ตราหยก</v>
      </c>
      <c r="D65" s="5">
        <f>IFERROR(__xludf.DUMMYFUNCTION("""COMPUTED_VALUE"""),1.0)</f>
        <v>1</v>
      </c>
      <c r="E65" s="5">
        <f>IFERROR(__xludf.DUMMYFUNCTION("""COMPUTED_VALUE"""),7.0)</f>
        <v>7</v>
      </c>
      <c r="F65" s="5">
        <f>IFERROR(__xludf.DUMMYFUNCTION("""COMPUTED_VALUE"""),8.850581111709E12)</f>
        <v>8850581111709</v>
      </c>
      <c r="G65" s="5" t="str">
        <f>IFERROR(__xludf.DUMMYFUNCTION("""COMPUTED_VALUE"""),"PM_หยกน้ำมันถั่วเหลืองขวด 1L")</f>
        <v>PM_หยกน้ำมันถั่วเหลืองขวด 1L</v>
      </c>
      <c r="H65" s="7">
        <f>IFERROR(__xludf.DUMMYFUNCTION("""COMPUTED_VALUE"""),60.0)</f>
        <v>60</v>
      </c>
      <c r="I65" s="7"/>
      <c r="J65" s="5"/>
    </row>
    <row r="66">
      <c r="A66" s="5">
        <f>IFERROR(__xludf.DUMMYFUNCTION("""COMPUTED_VALUE"""),1152101.0)</f>
        <v>1152101</v>
      </c>
      <c r="B66" s="6" t="str">
        <f>IFERROR(__xludf.DUMMYFUNCTION("""COMPUTED_VALUE"""),"1152101211011001")</f>
        <v>1152101211011001</v>
      </c>
      <c r="C66" s="5" t="str">
        <f>IFERROR(__xludf.DUMMYFUNCTION("""COMPUTED_VALUE"""),"น้ำมันปาล์ม บริสุทธิ์\ บรรจุขวดพลาสติก 1 ลิตร\ ตราเกสร")</f>
        <v>น้ำมันปาล์ม บริสุทธิ์\ บรรจุขวดพลาสติก 1 ลิตร\ ตราเกสร</v>
      </c>
      <c r="D66" s="5">
        <f>IFERROR(__xludf.DUMMYFUNCTION("""COMPUTED_VALUE"""),1.0)</f>
        <v>1</v>
      </c>
      <c r="E66" s="5">
        <f>IFERROR(__xludf.DUMMYFUNCTION("""COMPUTED_VALUE"""),8.0)</f>
        <v>8</v>
      </c>
      <c r="F66" s="5">
        <f>IFERROR(__xludf.DUMMYFUNCTION("""COMPUTED_VALUE"""),8.851494007523E12)</f>
        <v>8851494007523</v>
      </c>
      <c r="G66" s="5" t="str">
        <f>IFERROR(__xludf.DUMMYFUNCTION("""COMPUTED_VALUE"""),"เกสรน้ำมันปาล์มขวด 1L")</f>
        <v>เกสรน้ำมันปาล์มขวด 1L</v>
      </c>
      <c r="H66" s="7">
        <f>IFERROR(__xludf.DUMMYFUNCTION("""COMPUTED_VALUE"""),52.0)</f>
        <v>52</v>
      </c>
      <c r="I66" s="7"/>
      <c r="J66" s="5" t="str">
        <f>IFERROR(__xludf.DUMMYFUNCTION("""COMPUTED_VALUE"""),"PROMOTION 7DAY รอบ 1-7 ต.ค. 69")</f>
        <v>PROMOTION 7DAY รอบ 1-7 ต.ค. 69</v>
      </c>
    </row>
    <row r="67">
      <c r="A67" s="5">
        <f>IFERROR(__xludf.DUMMYFUNCTION("""COMPUTED_VALUE"""),1152104.0)</f>
        <v>1152104</v>
      </c>
      <c r="B67" s="6" t="str">
        <f>IFERROR(__xludf.DUMMYFUNCTION("""COMPUTED_VALUE"""),"1152104111010101")</f>
        <v>1152104111010101</v>
      </c>
      <c r="C67" s="5" t="str">
        <f>IFERROR(__xludf.DUMMYFUNCTION("""COMPUTED_VALUE"""),"กะทิสำเร็จรูป \บรรจุกล่อง 250 มล. \ตราอร่อย - ดี")</f>
        <v>กะทิสำเร็จรูป \บรรจุกล่อง 250 มล. \ตราอร่อย - ดี</v>
      </c>
      <c r="D67" s="5">
        <f>IFERROR(__xludf.DUMMYFUNCTION("""COMPUTED_VALUE"""),4.0)</f>
        <v>4</v>
      </c>
      <c r="E67" s="5">
        <f>IFERROR(__xludf.DUMMYFUNCTION("""COMPUTED_VALUE"""),1.0)</f>
        <v>1</v>
      </c>
      <c r="F67" s="5">
        <f>IFERROR(__xludf.DUMMYFUNCTION("""COMPUTED_VALUE"""),8.851613101378E12)</f>
        <v>8851613101378</v>
      </c>
      <c r="G67" s="5" t="str">
        <f>IFERROR(__xludf.DUMMYFUNCTION("""COMPUTED_VALUE"""),"อร่อยดีกะทิยูเอชที250ml")</f>
        <v>อร่อยดีกะทิยูเอชที250ml</v>
      </c>
      <c r="H67" s="7">
        <f>IFERROR(__xludf.DUMMYFUNCTION("""COMPUTED_VALUE"""),32.0)</f>
        <v>32</v>
      </c>
      <c r="I67" s="7"/>
      <c r="J67" s="5"/>
    </row>
    <row r="68">
      <c r="A68" s="5">
        <f>IFERROR(__xludf.DUMMYFUNCTION("""COMPUTED_VALUE"""),1152104.0)</f>
        <v>1152104</v>
      </c>
      <c r="B68" s="6" t="str">
        <f>IFERROR(__xludf.DUMMYFUNCTION("""COMPUTED_VALUE"""),"1152104111010201")</f>
        <v>1152104111010201</v>
      </c>
      <c r="C68" s="5" t="str">
        <f>IFERROR(__xludf.DUMMYFUNCTION("""COMPUTED_VALUE"""),"กะทิสำเร็จรูป \บรรจุกล่อง 250 มล. \ตราชาวเกาะ")</f>
        <v>กะทิสำเร็จรูป \บรรจุกล่อง 250 มล. \ตราชาวเกาะ</v>
      </c>
      <c r="D68" s="5">
        <f>IFERROR(__xludf.DUMMYFUNCTION("""COMPUTED_VALUE"""),3.0)</f>
        <v>3</v>
      </c>
      <c r="E68" s="5">
        <f>IFERROR(__xludf.DUMMYFUNCTION("""COMPUTED_VALUE"""),2.0)</f>
        <v>2</v>
      </c>
      <c r="F68" s="5">
        <f>IFERROR(__xludf.DUMMYFUNCTION("""COMPUTED_VALUE"""),8.850367100019E12)</f>
        <v>8850367100019</v>
      </c>
      <c r="G68" s="5" t="str">
        <f>IFERROR(__xludf.DUMMYFUNCTION("""COMPUTED_VALUE"""),"ชาวเกาะกะทิUHT250ml")</f>
        <v>ชาวเกาะกะทิUHT250ml</v>
      </c>
      <c r="H68" s="7">
        <f>IFERROR(__xludf.DUMMYFUNCTION("""COMPUTED_VALUE"""),35.0)</f>
        <v>35</v>
      </c>
      <c r="I68" s="7"/>
      <c r="J68" s="5"/>
    </row>
    <row r="69">
      <c r="A69" s="5">
        <f>IFERROR(__xludf.DUMMYFUNCTION("""COMPUTED_VALUE"""),1152104.0)</f>
        <v>1152104</v>
      </c>
      <c r="B69" s="6" t="str">
        <f>IFERROR(__xludf.DUMMYFUNCTION("""COMPUTED_VALUE"""),"1152104111020201")</f>
        <v>1152104111020201</v>
      </c>
      <c r="C69" s="5" t="str">
        <f>IFERROR(__xludf.DUMMYFUNCTION("""COMPUTED_VALUE"""),"กะทิสำเร็จรูป \บรรจุกล่อง 500 มล. \ตราอร่อยดี")</f>
        <v>กะทิสำเร็จรูป \บรรจุกล่อง 500 มล. \ตราอร่อยดี</v>
      </c>
      <c r="D69" s="5">
        <f>IFERROR(__xludf.DUMMYFUNCTION("""COMPUTED_VALUE"""),1.0)</f>
        <v>1</v>
      </c>
      <c r="E69" s="5">
        <f>IFERROR(__xludf.DUMMYFUNCTION("""COMPUTED_VALUE"""),3.0)</f>
        <v>3</v>
      </c>
      <c r="F69" s="5">
        <f>IFERROR(__xludf.DUMMYFUNCTION("""COMPUTED_VALUE"""),8.851613101385E12)</f>
        <v>8851613101385</v>
      </c>
      <c r="G69" s="5" t="str">
        <f>IFERROR(__xludf.DUMMYFUNCTION("""COMPUTED_VALUE"""),"อร่อยดีกะทิ500ml")</f>
        <v>อร่อยดีกะทิ500ml</v>
      </c>
      <c r="H69" s="7">
        <f>IFERROR(__xludf.DUMMYFUNCTION("""COMPUTED_VALUE"""),55.0)</f>
        <v>55</v>
      </c>
      <c r="I69" s="7">
        <f>IFERROR(__xludf.DUMMYFUNCTION("""COMPUTED_VALUE"""),52.0)</f>
        <v>52</v>
      </c>
      <c r="J69" s="5" t="str">
        <f>IFERROR(__xludf.DUMMYFUNCTION("""COMPUTED_VALUE"""),"PROMOTION MAIL (รอบ 25 ก.ย. - 24 ต.ค. 69)")</f>
        <v>PROMOTION MAIL (รอบ 25 ก.ย. - 24 ต.ค. 69)</v>
      </c>
    </row>
    <row r="70">
      <c r="A70" s="5">
        <f>IFERROR(__xludf.DUMMYFUNCTION("""COMPUTED_VALUE"""),1152104.0)</f>
        <v>1152104</v>
      </c>
      <c r="B70" s="6" t="str">
        <f>IFERROR(__xludf.DUMMYFUNCTION("""COMPUTED_VALUE"""),"1152104112010401")</f>
        <v>1152104112010401</v>
      </c>
      <c r="C70" s="5" t="str">
        <f>IFERROR(__xludf.DUMMYFUNCTION("""COMPUTED_VALUE"""),"กะทิสำเร็จรูป \บรรจุขวดพลาสติก 250 มล. \ตราชาวเกาะ")</f>
        <v>กะทิสำเร็จรูป \บรรจุขวดพลาสติก 250 มล. \ตราชาวเกาะ</v>
      </c>
      <c r="D70" s="5">
        <f>IFERROR(__xludf.DUMMYFUNCTION("""COMPUTED_VALUE"""),1.0)</f>
        <v>1</v>
      </c>
      <c r="E70" s="5">
        <f>IFERROR(__xludf.DUMMYFUNCTION("""COMPUTED_VALUE"""),4.0)</f>
        <v>4</v>
      </c>
      <c r="F70" s="5">
        <f>IFERROR(__xludf.DUMMYFUNCTION("""COMPUTED_VALUE"""),8.850813120196E12)</f>
        <v>8850813120196</v>
      </c>
      <c r="G70" s="5" t="str">
        <f>IFERROR(__xludf.DUMMYFUNCTION("""COMPUTED_VALUE"""),"ชาวเกาะกะทิUHTขวดเพ็ท250ml")</f>
        <v>ชาวเกาะกะทิUHTขวดเพ็ท250ml</v>
      </c>
      <c r="H70" s="7"/>
      <c r="I70" s="7"/>
      <c r="J70" s="5"/>
    </row>
    <row r="71">
      <c r="A71" s="5">
        <f>IFERROR(__xludf.DUMMYFUNCTION("""COMPUTED_VALUE"""),1152201.0)</f>
        <v>1152201</v>
      </c>
      <c r="B71" s="6" t="str">
        <f>IFERROR(__xludf.DUMMYFUNCTION("""COMPUTED_VALUE"""),"1152201111020101")</f>
        <v>1152201111020101</v>
      </c>
      <c r="C71" s="5" t="str">
        <f>IFERROR(__xludf.DUMMYFUNCTION("""COMPUTED_VALUE"""),"เกลือป่น เสริมไอโอดีน\ บรรจุถุงพลาสติก 500 กรัม\ ตราปรุงทิพย์")</f>
        <v>เกลือป่น เสริมไอโอดีน\ บรรจุถุงพลาสติก 500 กรัม\ ตราปรุงทิพย์</v>
      </c>
      <c r="D71" s="5">
        <f>IFERROR(__xludf.DUMMYFUNCTION("""COMPUTED_VALUE"""),4.0)</f>
        <v>4</v>
      </c>
      <c r="E71" s="5">
        <f>IFERROR(__xludf.DUMMYFUNCTION("""COMPUTED_VALUE"""),1.0)</f>
        <v>1</v>
      </c>
      <c r="F71" s="5">
        <f>IFERROR(__xludf.DUMMYFUNCTION("""COMPUTED_VALUE"""),8.850069010036E12)</f>
        <v>8850069010036</v>
      </c>
      <c r="G71" s="5" t="str">
        <f>IFERROR(__xludf.DUMMYFUNCTION("""COMPUTED_VALUE"""),"ปรุงทิพย์เกลือ500g")</f>
        <v>ปรุงทิพย์เกลือ500g</v>
      </c>
      <c r="H71" s="7">
        <f>IFERROR(__xludf.DUMMYFUNCTION("""COMPUTED_VALUE"""),8.0)</f>
        <v>8</v>
      </c>
      <c r="I71" s="7"/>
      <c r="J71" s="5"/>
    </row>
    <row r="72">
      <c r="A72" s="5">
        <f>IFERROR(__xludf.DUMMYFUNCTION("""COMPUTED_VALUE"""),1152201.0)</f>
        <v>1152201</v>
      </c>
      <c r="B72" s="6" t="str">
        <f>IFERROR(__xludf.DUMMYFUNCTION("""COMPUTED_VALUE"""),"1152201111030101")</f>
        <v>1152201111030101</v>
      </c>
      <c r="C72" s="5" t="str">
        <f>IFERROR(__xludf.DUMMYFUNCTION("""COMPUTED_VALUE"""),"เกลือป่น เสริมไอโอดีน\ บรรจุถุงพลาสติก 220 กรัม\ ตราเกลือทิพย์")</f>
        <v>เกลือป่น เสริมไอโอดีน\ บรรจุถุงพลาสติก 220 กรัม\ ตราเกลือทิพย์</v>
      </c>
      <c r="D72" s="5">
        <f>IFERROR(__xludf.DUMMYFUNCTION("""COMPUTED_VALUE"""),2.0)</f>
        <v>2</v>
      </c>
      <c r="E72" s="5">
        <f>IFERROR(__xludf.DUMMYFUNCTION("""COMPUTED_VALUE"""),2.0)</f>
        <v>2</v>
      </c>
      <c r="F72" s="5">
        <f>IFERROR(__xludf.DUMMYFUNCTION("""COMPUTED_VALUE"""),8.850069020226E12)</f>
        <v>8850069020226</v>
      </c>
      <c r="G72" s="5" t="str">
        <f>IFERROR(__xludf.DUMMYFUNCTION("""COMPUTED_VALUE"""),"ทิพย์เกลือ220g")</f>
        <v>ทิพย์เกลือ220g</v>
      </c>
      <c r="H72" s="7">
        <f>IFERROR(__xludf.DUMMYFUNCTION("""COMPUTED_VALUE"""),5.0)</f>
        <v>5</v>
      </c>
      <c r="I72" s="7"/>
      <c r="J72" s="5"/>
    </row>
    <row r="73">
      <c r="A73" s="5">
        <f>IFERROR(__xludf.DUMMYFUNCTION("""COMPUTED_VALUE"""),1152201.0)</f>
        <v>1152201</v>
      </c>
      <c r="B73" s="6" t="str">
        <f>IFERROR(__xludf.DUMMYFUNCTION("""COMPUTED_VALUE"""),"1152201111050101")</f>
        <v>1152201111050101</v>
      </c>
      <c r="C73" s="5" t="str">
        <f>IFERROR(__xludf.DUMMYFUNCTION("""COMPUTED_VALUE"""),"เกลือป่น เสริมไอโอดีน\ บรรจุถุงพลาสติก 1000 กรัม\ ตราปรุงทิพย์")</f>
        <v>เกลือป่น เสริมไอโอดีน\ บรรจุถุงพลาสติก 1000 กรัม\ ตราปรุงทิพย์</v>
      </c>
      <c r="D73" s="5">
        <f>IFERROR(__xludf.DUMMYFUNCTION("""COMPUTED_VALUE"""),1.0)</f>
        <v>1</v>
      </c>
      <c r="E73" s="5">
        <f>IFERROR(__xludf.DUMMYFUNCTION("""COMPUTED_VALUE"""),3.0)</f>
        <v>3</v>
      </c>
      <c r="F73" s="5">
        <f>IFERROR(__xludf.DUMMYFUNCTION("""COMPUTED_VALUE"""),8.850069010074E12)</f>
        <v>8850069010074</v>
      </c>
      <c r="G73" s="5" t="str">
        <f>IFERROR(__xludf.DUMMYFUNCTION("""COMPUTED_VALUE"""),"ปรุงทิพย์เกลือ1000g")</f>
        <v>ปรุงทิพย์เกลือ1000g</v>
      </c>
      <c r="H73" s="7">
        <f>IFERROR(__xludf.DUMMYFUNCTION("""COMPUTED_VALUE"""),16.0)</f>
        <v>16</v>
      </c>
      <c r="I73" s="7"/>
      <c r="J73" s="5"/>
    </row>
    <row r="74">
      <c r="A74" s="5">
        <f>IFERROR(__xludf.DUMMYFUNCTION("""COMPUTED_VALUE"""),1152202.0)</f>
        <v>1152202</v>
      </c>
      <c r="B74" s="6" t="str">
        <f>IFERROR(__xludf.DUMMYFUNCTION("""COMPUTED_VALUE"""),"1152202111030101")</f>
        <v>1152202111030101</v>
      </c>
      <c r="C74" s="5" t="str">
        <f>IFERROR(__xludf.DUMMYFUNCTION("""COMPUTED_VALUE"""),"น้ำปลาแท้\ บรรจุขวดพลาสติก 700 ซีซี \ตราทิพรส")</f>
        <v>น้ำปลาแท้\ บรรจุขวดพลาสติก 700 ซีซี \ตราทิพรส</v>
      </c>
      <c r="D74" s="5">
        <f>IFERROR(__xludf.DUMMYFUNCTION("""COMPUTED_VALUE"""),4.0)</f>
        <v>4</v>
      </c>
      <c r="E74" s="5">
        <f>IFERROR(__xludf.DUMMYFUNCTION("""COMPUTED_VALUE"""),1.0)</f>
        <v>1</v>
      </c>
      <c r="F74" s="5">
        <f>IFERROR(__xludf.DUMMYFUNCTION("""COMPUTED_VALUE"""),8.850545777552E12)</f>
        <v>8850545777552</v>
      </c>
      <c r="G74" s="5" t="str">
        <f>IFERROR(__xludf.DUMMYFUNCTION("""COMPUTED_VALUE"""),"ทิพรสน้ำปลาขวดเพท700cc")</f>
        <v>ทิพรสน้ำปลาขวดเพท700cc</v>
      </c>
      <c r="H74" s="7">
        <f>IFERROR(__xludf.DUMMYFUNCTION("""COMPUTED_VALUE"""),32.0)</f>
        <v>32</v>
      </c>
      <c r="I74" s="7"/>
      <c r="J74" s="5"/>
    </row>
    <row r="75">
      <c r="A75" s="5">
        <f>IFERROR(__xludf.DUMMYFUNCTION("""COMPUTED_VALUE"""),1152202.0)</f>
        <v>1152202</v>
      </c>
      <c r="B75" s="6" t="str">
        <f>IFERROR(__xludf.DUMMYFUNCTION("""COMPUTED_VALUE"""),"1152202111030202")</f>
        <v>1152202111030202</v>
      </c>
      <c r="C75" s="5" t="str">
        <f>IFERROR(__xludf.DUMMYFUNCTION("""COMPUTED_VALUE"""),"น้ำปลาแท้\ บรรจุขวดพลาสติก 700 ซีซี \ตราปลาหมีก ฉลากสีเขียว")</f>
        <v>น้ำปลาแท้\ บรรจุขวดพลาสติก 700 ซีซี \ตราปลาหมีก ฉลากสีเขียว</v>
      </c>
      <c r="D75" s="5">
        <f>IFERROR(__xludf.DUMMYFUNCTION("""COMPUTED_VALUE"""),1.0)</f>
        <v>1</v>
      </c>
      <c r="E75" s="5">
        <f>IFERROR(__xludf.DUMMYFUNCTION("""COMPUTED_VALUE"""),3.0)</f>
        <v>3</v>
      </c>
      <c r="F75" s="5">
        <f>IFERROR(__xludf.DUMMYFUNCTION("""COMPUTED_VALUE"""),8.850620888289E12)</f>
        <v>8850620888289</v>
      </c>
      <c r="G75" s="5" t="str">
        <f>IFERROR(__xludf.DUMMYFUNCTION("""COMPUTED_VALUE"""),"ปลาหมึกน้ำปลาแท้ขวดเพ็ทฉลากเขียว700ml")</f>
        <v>ปลาหมึกน้ำปลาแท้ขวดเพ็ทฉลากเขียว700ml</v>
      </c>
      <c r="H75" s="7">
        <f>IFERROR(__xludf.DUMMYFUNCTION("""COMPUTED_VALUE"""),32.0)</f>
        <v>32</v>
      </c>
      <c r="I75" s="7">
        <f>IFERROR(__xludf.DUMMYFUNCTION("""COMPUTED_VALUE"""),28.0)</f>
        <v>28</v>
      </c>
      <c r="J75" s="5" t="str">
        <f>IFERROR(__xludf.DUMMYFUNCTION("""COMPUTED_VALUE"""),"PROMOTION MAIL (รอบ 25 ก.ย. - 24 ต.ค. 69)")</f>
        <v>PROMOTION MAIL (รอบ 25 ก.ย. - 24 ต.ค. 69)</v>
      </c>
    </row>
    <row r="76">
      <c r="A76" s="5">
        <f>IFERROR(__xludf.DUMMYFUNCTION("""COMPUTED_VALUE"""),1152203.0)</f>
        <v>1152203</v>
      </c>
      <c r="B76" s="6" t="str">
        <f>IFERROR(__xludf.DUMMYFUNCTION("""COMPUTED_VALUE"""),"1152203111010101")</f>
        <v>1152203111010101</v>
      </c>
      <c r="C76" s="5" t="str">
        <f>IFERROR(__xludf.DUMMYFUNCTION("""COMPUTED_VALUE"""),"ซีอิ๊วขาว (ซอสถั่วเหลือง) สูตร 1 \บรรจุขวดแก้ว 700 ซีซี \ตราเด็กสมบูรณ์")</f>
        <v>ซีอิ๊วขาว (ซอสถั่วเหลือง) สูตร 1 \บรรจุขวดแก้ว 700 ซีซี \ตราเด็กสมบูรณ์</v>
      </c>
      <c r="D76" s="5">
        <f>IFERROR(__xludf.DUMMYFUNCTION("""COMPUTED_VALUE"""),4.0)</f>
        <v>4</v>
      </c>
      <c r="E76" s="5">
        <f>IFERROR(__xludf.DUMMYFUNCTION("""COMPUTED_VALUE"""),1.0)</f>
        <v>1</v>
      </c>
      <c r="F76" s="5">
        <f>IFERROR(__xludf.DUMMYFUNCTION("""COMPUTED_VALUE"""),8.850206011025E12)</f>
        <v>8850206011025</v>
      </c>
      <c r="G76" s="5" t="str">
        <f>IFERROR(__xludf.DUMMYFUNCTION("""COMPUTED_VALUE"""),"เด็กสมบูรณ์ซีอิ้วขาวสูตร1 700cc")</f>
        <v>เด็กสมบูรณ์ซีอิ้วขาวสูตร1 700cc</v>
      </c>
      <c r="H76" s="7">
        <f>IFERROR(__xludf.DUMMYFUNCTION("""COMPUTED_VALUE"""),55.0)</f>
        <v>55</v>
      </c>
      <c r="I76" s="7">
        <f>IFERROR(__xludf.DUMMYFUNCTION("""COMPUTED_VALUE"""),48.0)</f>
        <v>48</v>
      </c>
      <c r="J76" s="5" t="str">
        <f>IFERROR(__xludf.DUMMYFUNCTION("""COMPUTED_VALUE"""),"PROMOTION MAIL (รอบ 25 ก.ย. - 24 ต.ค. 69)")</f>
        <v>PROMOTION MAIL (รอบ 25 ก.ย. - 24 ต.ค. 69)</v>
      </c>
    </row>
    <row r="77">
      <c r="A77" s="5">
        <f>IFERROR(__xludf.DUMMYFUNCTION("""COMPUTED_VALUE"""),1152203.0)</f>
        <v>1152203</v>
      </c>
      <c r="B77" s="6" t="str">
        <f>IFERROR(__xludf.DUMMYFUNCTION("""COMPUTED_VALUE"""),"1152203111010201")</f>
        <v>1152203111010201</v>
      </c>
      <c r="C77" s="5" t="str">
        <f>IFERROR(__xludf.DUMMYFUNCTION("""COMPUTED_VALUE"""),"ซีอิ๊วขาว (ซอสถั่วเหลือง) สูตร 1 \บรรจุขวดแก้ว 700 ซีซี\ ตราง่วนเชียง")</f>
        <v>ซีอิ๊วขาว (ซอสถั่วเหลือง) สูตร 1 \บรรจุขวดแก้ว 700 ซีซี\ ตราง่วนเชียง</v>
      </c>
      <c r="D77" s="5">
        <f>IFERROR(__xludf.DUMMYFUNCTION("""COMPUTED_VALUE"""),3.0)</f>
        <v>3</v>
      </c>
      <c r="E77" s="5">
        <f>IFERROR(__xludf.DUMMYFUNCTION("""COMPUTED_VALUE"""),2.0)</f>
        <v>2</v>
      </c>
      <c r="F77" s="5">
        <f>IFERROR(__xludf.DUMMYFUNCTION("""COMPUTED_VALUE"""),8.851912010012E12)</f>
        <v>8851912010012</v>
      </c>
      <c r="G77" s="5" t="str">
        <f>IFERROR(__xludf.DUMMYFUNCTION("""COMPUTED_VALUE"""),"ง่วนเชียงซีอิ๊วขาวสูตร1 700cc")</f>
        <v>ง่วนเชียงซีอิ๊วขาวสูตร1 700cc</v>
      </c>
      <c r="H77" s="7">
        <f>IFERROR(__xludf.DUMMYFUNCTION("""COMPUTED_VALUE"""),47.0)</f>
        <v>47</v>
      </c>
      <c r="I77" s="7"/>
      <c r="J77" s="5"/>
    </row>
    <row r="78">
      <c r="A78" s="5">
        <f>IFERROR(__xludf.DUMMYFUNCTION("""COMPUTED_VALUE"""),1152203.0)</f>
        <v>1152203</v>
      </c>
      <c r="B78" s="6" t="str">
        <f>IFERROR(__xludf.DUMMYFUNCTION("""COMPUTED_VALUE"""),"1152203111010102")</f>
        <v>1152203111010102</v>
      </c>
      <c r="C78" s="5" t="str">
        <f>IFERROR(__xludf.DUMMYFUNCTION("""COMPUTED_VALUE"""),"ซีอิ๊วขาว (ซอสถั่วเหลือง) สูตร 5\ บรรจุขวดแก้ว 700 ซีซี. \ ตราเด็กสมบูรณ์")</f>
        <v>ซีอิ๊วขาว (ซอสถั่วเหลือง) สูตร 5\ บรรจุขวดแก้ว 700 ซีซี. \ ตราเด็กสมบูรณ์</v>
      </c>
      <c r="D78" s="5">
        <f>IFERROR(__xludf.DUMMYFUNCTION("""COMPUTED_VALUE"""),1.0)</f>
        <v>1</v>
      </c>
      <c r="E78" s="5">
        <f>IFERROR(__xludf.DUMMYFUNCTION("""COMPUTED_VALUE"""),3.0)</f>
        <v>3</v>
      </c>
      <c r="F78" s="5">
        <f>IFERROR(__xludf.DUMMYFUNCTION("""COMPUTED_VALUE"""),8.85020601503E12)</f>
        <v>8850206015030</v>
      </c>
      <c r="G78" s="5" t="str">
        <f>IFERROR(__xludf.DUMMYFUNCTION("""COMPUTED_VALUE"""),"เด็กสมบูรณ์ซีอิ้วขาวสูตร5 700cc")</f>
        <v>เด็กสมบูรณ์ซีอิ้วขาวสูตร5 700cc</v>
      </c>
      <c r="H78" s="7">
        <f>IFERROR(__xludf.DUMMYFUNCTION("""COMPUTED_VALUE"""),29.0)</f>
        <v>29</v>
      </c>
      <c r="I78" s="7"/>
      <c r="J78" s="5"/>
    </row>
    <row r="79">
      <c r="A79" s="5">
        <f>IFERROR(__xludf.DUMMYFUNCTION("""COMPUTED_VALUE"""),1152203.0)</f>
        <v>1152203</v>
      </c>
      <c r="B79" s="6" t="str">
        <f>IFERROR(__xludf.DUMMYFUNCTION("""COMPUTED_VALUE"""),"1152203111040101")</f>
        <v>1152203111040101</v>
      </c>
      <c r="C79" s="5" t="str">
        <f>IFERROR(__xludf.DUMMYFUNCTION("""COMPUTED_VALUE"""),"ซีอิ๊วขาว (ซอสถั่วเหลือง) สูตร 1\ บรรจุขวดแก้ว 300 ซีซี.\ ตราเด็กสมบูรณ์")</f>
        <v>ซีอิ๊วขาว (ซอสถั่วเหลือง) สูตร 1\ บรรจุขวดแก้ว 300 ซีซี.\ ตราเด็กสมบูรณ์</v>
      </c>
      <c r="D79" s="5">
        <f>IFERROR(__xludf.DUMMYFUNCTION("""COMPUTED_VALUE"""),1.0)</f>
        <v>1</v>
      </c>
      <c r="E79" s="5">
        <f>IFERROR(__xludf.DUMMYFUNCTION("""COMPUTED_VALUE"""),4.0)</f>
        <v>4</v>
      </c>
      <c r="F79" s="5">
        <f>IFERROR(__xludf.DUMMYFUNCTION("""COMPUTED_VALUE"""),8.850206011124E12)</f>
        <v>8850206011124</v>
      </c>
      <c r="G79" s="5" t="str">
        <f>IFERROR(__xludf.DUMMYFUNCTION("""COMPUTED_VALUE"""),"เด็กสมบูรณ์ซีอิ้วขาวสูตร1 300cc")</f>
        <v>เด็กสมบูรณ์ซีอิ้วขาวสูตร1 300cc</v>
      </c>
      <c r="H79" s="7">
        <f>IFERROR(__xludf.DUMMYFUNCTION("""COMPUTED_VALUE"""),31.0)</f>
        <v>31</v>
      </c>
      <c r="I79" s="7"/>
      <c r="J79" s="5"/>
    </row>
    <row r="80">
      <c r="A80" s="5">
        <f>IFERROR(__xludf.DUMMYFUNCTION("""COMPUTED_VALUE"""),1152203.0)</f>
        <v>1152203</v>
      </c>
      <c r="B80" s="6" t="str">
        <f>IFERROR(__xludf.DUMMYFUNCTION("""COMPUTED_VALUE"""),"1152203112010101")</f>
        <v>1152203112010101</v>
      </c>
      <c r="C80" s="5" t="str">
        <f>IFERROR(__xludf.DUMMYFUNCTION("""COMPUTED_VALUE"""),"ซีอิ๊วขาว (ซอสถั่วเหลือง) สูตร 1\ บรรจุขวดพลาสติก1000 ซีซี. \ ตราเด็กสมบูรณ์")</f>
        <v>ซีอิ๊วขาว (ซอสถั่วเหลือง) สูตร 1\ บรรจุขวดพลาสติก1000 ซีซี. \ ตราเด็กสมบูรณ์</v>
      </c>
      <c r="D80" s="5">
        <f>IFERROR(__xludf.DUMMYFUNCTION("""COMPUTED_VALUE"""),1.0)</f>
        <v>1</v>
      </c>
      <c r="E80" s="5">
        <f>IFERROR(__xludf.DUMMYFUNCTION("""COMPUTED_VALUE"""),5.0)</f>
        <v>5</v>
      </c>
      <c r="F80" s="5">
        <f>IFERROR(__xludf.DUMMYFUNCTION("""COMPUTED_VALUE"""),8.850206011018E12)</f>
        <v>8850206011018</v>
      </c>
      <c r="G80" s="5" t="str">
        <f>IFERROR(__xludf.DUMMYFUNCTION("""COMPUTED_VALUE"""),"เด็กสมบูรณ์ซีอิ้วขาวสูตร1 1000cc")</f>
        <v>เด็กสมบูรณ์ซีอิ้วขาวสูตร1 1000cc</v>
      </c>
      <c r="H80" s="7">
        <f>IFERROR(__xludf.DUMMYFUNCTION("""COMPUTED_VALUE"""),65.0)</f>
        <v>65</v>
      </c>
      <c r="I80" s="7">
        <f>IFERROR(__xludf.DUMMYFUNCTION("""COMPUTED_VALUE"""),59.0)</f>
        <v>59</v>
      </c>
      <c r="J80" s="5" t="str">
        <f>IFERROR(__xludf.DUMMYFUNCTION("""COMPUTED_VALUE"""),"PROMOTION MAIL (รอบ 25 ก.ย. - 24 ต.ค. 69)")</f>
        <v>PROMOTION MAIL (รอบ 25 ก.ย. - 24 ต.ค. 69)</v>
      </c>
    </row>
    <row r="81">
      <c r="A81" s="5">
        <f>IFERROR(__xludf.DUMMYFUNCTION("""COMPUTED_VALUE"""),1152203.0)</f>
        <v>1152203</v>
      </c>
      <c r="B81" s="6" t="str">
        <f>IFERROR(__xludf.DUMMYFUNCTION("""COMPUTED_VALUE"""),"1152203112030401")</f>
        <v>1152203112030401</v>
      </c>
      <c r="C81" s="5" t="str">
        <f>IFERROR(__xludf.DUMMYFUNCTION("""COMPUTED_VALUE"""),"ซีอิ๊วขาว (ซอสถั่วเหลือง) สูตร 1\ ขวดพลาสติก ขนาด 600 มล.\ ตราภูเขาทอง")</f>
        <v>ซีอิ๊วขาว (ซอสถั่วเหลือง) สูตร 1\ ขวดพลาสติก ขนาด 600 มล.\ ตราภูเขาทอง</v>
      </c>
      <c r="D81" s="5">
        <f>IFERROR(__xludf.DUMMYFUNCTION("""COMPUTED_VALUE"""),1.0)</f>
        <v>1</v>
      </c>
      <c r="E81" s="5">
        <f>IFERROR(__xludf.DUMMYFUNCTION("""COMPUTED_VALUE"""),6.0)</f>
        <v>6</v>
      </c>
      <c r="F81" s="5">
        <f>IFERROR(__xludf.DUMMYFUNCTION("""COMPUTED_VALUE"""),8.851954100726E12)</f>
        <v>8851954100726</v>
      </c>
      <c r="G81" s="5" t="str">
        <f>IFERROR(__xludf.DUMMYFUNCTION("""COMPUTED_VALUE"""),"ภูเขาทองซีอิ้วขาว 600cc")</f>
        <v>ภูเขาทองซีอิ้วขาว 600cc</v>
      </c>
      <c r="H81" s="7">
        <f>IFERROR(__xludf.DUMMYFUNCTION("""COMPUTED_VALUE"""),30.0)</f>
        <v>30</v>
      </c>
      <c r="I81" s="7"/>
      <c r="J81" s="5"/>
    </row>
    <row r="82">
      <c r="A82" s="5">
        <f>IFERROR(__xludf.DUMMYFUNCTION("""COMPUTED_VALUE"""),1152204.0)</f>
        <v>1152204</v>
      </c>
      <c r="B82" s="6" t="str">
        <f>IFERROR(__xludf.DUMMYFUNCTION("""COMPUTED_VALUE"""),"1152204111040101")</f>
        <v>1152204111040101</v>
      </c>
      <c r="C82" s="5" t="str">
        <f>IFERROR(__xludf.DUMMYFUNCTION("""COMPUTED_VALUE"""),"ซอสหอยนางรม \บรรจุขวดแก้ว 600 ซีซี\ ตราแม่ครัว")</f>
        <v>ซอสหอยนางรม \บรรจุขวดแก้ว 600 ซีซี\ ตราแม่ครัว</v>
      </c>
      <c r="D82" s="5">
        <f>IFERROR(__xludf.DUMMYFUNCTION("""COMPUTED_VALUE"""),4.0)</f>
        <v>4</v>
      </c>
      <c r="E82" s="5">
        <f>IFERROR(__xludf.DUMMYFUNCTION("""COMPUTED_VALUE"""),1.0)</f>
        <v>1</v>
      </c>
      <c r="F82" s="5">
        <f>IFERROR(__xludf.DUMMYFUNCTION("""COMPUTED_VALUE"""),8.850038400035E12)</f>
        <v>8850038400035</v>
      </c>
      <c r="G82" s="5" t="str">
        <f>IFERROR(__xludf.DUMMYFUNCTION("""COMPUTED_VALUE"""),"แม่ครัวฉลากทองซอสหอย600cc")</f>
        <v>แม่ครัวฉลากทองซอสหอย600cc</v>
      </c>
      <c r="H82" s="7">
        <f>IFERROR(__xludf.DUMMYFUNCTION("""COMPUTED_VALUE"""),53.0)</f>
        <v>53</v>
      </c>
      <c r="I82" s="7"/>
      <c r="J82" s="5"/>
    </row>
    <row r="83">
      <c r="A83" s="5">
        <f>IFERROR(__xludf.DUMMYFUNCTION("""COMPUTED_VALUE"""),1152204.0)</f>
        <v>1152204</v>
      </c>
      <c r="B83" s="6" t="str">
        <f>IFERROR(__xludf.DUMMYFUNCTION("""COMPUTED_VALUE"""),"1152204111070102")</f>
        <v>1152204111070102</v>
      </c>
      <c r="C83" s="5" t="str">
        <f>IFERROR(__xludf.DUMMYFUNCTION("""COMPUTED_VALUE"""),"ซอสหอยนางรม \บรรจุขวดแก้ว 800 ซีซี \ตราเด็กสมบูรณ์ สูตรเข้มข้น")</f>
        <v>ซอสหอยนางรม \บรรจุขวดแก้ว 800 ซีซี \ตราเด็กสมบูรณ์ สูตรเข้มข้น</v>
      </c>
      <c r="D83" s="5">
        <f>IFERROR(__xludf.DUMMYFUNCTION("""COMPUTED_VALUE"""),3.0)</f>
        <v>3</v>
      </c>
      <c r="E83" s="5">
        <f>IFERROR(__xludf.DUMMYFUNCTION("""COMPUTED_VALUE"""),2.0)</f>
        <v>2</v>
      </c>
      <c r="F83" s="5">
        <f>IFERROR(__xludf.DUMMYFUNCTION("""COMPUTED_VALUE"""),8.850206117512E12)</f>
        <v>8850206117512</v>
      </c>
      <c r="G83" s="5" t="str">
        <f>IFERROR(__xludf.DUMMYFUNCTION("""COMPUTED_VALUE"""),"เด็กสมบูรณ์ซอสหอยนางรมสูตรเข้มข้น800g")</f>
        <v>เด็กสมบูรณ์ซอสหอยนางรมสูตรเข้มข้น800g</v>
      </c>
      <c r="H83" s="7">
        <f>IFERROR(__xludf.DUMMYFUNCTION("""COMPUTED_VALUE"""),47.0)</f>
        <v>47</v>
      </c>
      <c r="I83" s="7">
        <f>IFERROR(__xludf.DUMMYFUNCTION("""COMPUTED_VALUE"""),30.0)</f>
        <v>30</v>
      </c>
      <c r="J83" s="5" t="str">
        <f>IFERROR(__xludf.DUMMYFUNCTION("""COMPUTED_VALUE"""),"PROMOTION MAIL (รอบ 25 ก.ย. - 24 ต.ค. 69)")</f>
        <v>PROMOTION MAIL (รอบ 25 ก.ย. - 24 ต.ค. 69)</v>
      </c>
    </row>
    <row r="84">
      <c r="A84" s="5">
        <f>IFERROR(__xludf.DUMMYFUNCTION("""COMPUTED_VALUE"""),1152204.0)</f>
        <v>1152204</v>
      </c>
      <c r="B84" s="6" t="str">
        <f>IFERROR(__xludf.DUMMYFUNCTION("""COMPUTED_VALUE"""),"1152204111090101")</f>
        <v>1152204111090101</v>
      </c>
      <c r="C84" s="5" t="str">
        <f>IFERROR(__xludf.DUMMYFUNCTION("""COMPUTED_VALUE"""),"ซอสหอยนางรม \บรรจุขวดแก้ว 300 ซีซี \ตราแม่ครัว")</f>
        <v>ซอสหอยนางรม \บรรจุขวดแก้ว 300 ซีซี \ตราแม่ครัว</v>
      </c>
      <c r="D84" s="5">
        <f>IFERROR(__xludf.DUMMYFUNCTION("""COMPUTED_VALUE"""),1.0)</f>
        <v>1</v>
      </c>
      <c r="E84" s="5">
        <f>IFERROR(__xludf.DUMMYFUNCTION("""COMPUTED_VALUE"""),3.0)</f>
        <v>3</v>
      </c>
      <c r="F84" s="5">
        <f>IFERROR(__xludf.DUMMYFUNCTION("""COMPUTED_VALUE"""),8.850038400028E12)</f>
        <v>8850038400028</v>
      </c>
      <c r="G84" s="5" t="str">
        <f>IFERROR(__xludf.DUMMYFUNCTION("""COMPUTED_VALUE"""),"แม่ครัวฉลากทองซอสหอย300cc")</f>
        <v>แม่ครัวฉลากทองซอสหอย300cc</v>
      </c>
      <c r="H84" s="7">
        <f>IFERROR(__xludf.DUMMYFUNCTION("""COMPUTED_VALUE"""),38.0)</f>
        <v>38</v>
      </c>
      <c r="I84" s="7"/>
      <c r="J84" s="5"/>
    </row>
    <row r="85">
      <c r="A85" s="5">
        <f>IFERROR(__xludf.DUMMYFUNCTION("""COMPUTED_VALUE"""),1152204.0)</f>
        <v>1152204</v>
      </c>
      <c r="B85" s="6" t="str">
        <f>IFERROR(__xludf.DUMMYFUNCTION("""COMPUTED_VALUE"""),"1152204111070101")</f>
        <v>1152204111070101</v>
      </c>
      <c r="C85" s="5" t="str">
        <f>IFERROR(__xludf.DUMMYFUNCTION("""COMPUTED_VALUE"""),"ซอสหอยนางรม \บรรจุขวดแก้ว 800 ซีซี \ตราเด็กสมบูรณ์")</f>
        <v>ซอสหอยนางรม \บรรจุขวดแก้ว 800 ซีซี \ตราเด็กสมบูรณ์</v>
      </c>
      <c r="D85" s="5">
        <f>IFERROR(__xludf.DUMMYFUNCTION("""COMPUTED_VALUE"""),1.0)</f>
        <v>1</v>
      </c>
      <c r="E85" s="5">
        <f>IFERROR(__xludf.DUMMYFUNCTION("""COMPUTED_VALUE"""),4.0)</f>
        <v>4</v>
      </c>
      <c r="F85" s="5">
        <f>IFERROR(__xludf.DUMMYFUNCTION("""COMPUTED_VALUE"""),8.850206117055E12)</f>
        <v>8850206117055</v>
      </c>
      <c r="G85" s="5" t="str">
        <f>IFERROR(__xludf.DUMMYFUNCTION("""COMPUTED_VALUE"""),"เด็กสมบูรณ์ซอสหอย800cc")</f>
        <v>เด็กสมบูรณ์ซอสหอย800cc</v>
      </c>
      <c r="H85" s="7">
        <f>IFERROR(__xludf.DUMMYFUNCTION("""COMPUTED_VALUE"""),53.0)</f>
        <v>53</v>
      </c>
      <c r="I85" s="7">
        <f>IFERROR(__xludf.DUMMYFUNCTION("""COMPUTED_VALUE"""),14.0)</f>
        <v>14</v>
      </c>
      <c r="J85" s="5"/>
    </row>
    <row r="86">
      <c r="A86" s="5">
        <f>IFERROR(__xludf.DUMMYFUNCTION("""COMPUTED_VALUE"""),1152205.0)</f>
        <v>1152205</v>
      </c>
      <c r="B86" s="6" t="str">
        <f>IFERROR(__xludf.DUMMYFUNCTION("""COMPUTED_VALUE"""),"1152205111090101")</f>
        <v>1152205111090101</v>
      </c>
      <c r="C86" s="5" t="str">
        <f>IFERROR(__xludf.DUMMYFUNCTION("""COMPUTED_VALUE"""),"ซอสพริก \ บรรจุขวดแก้ว 200 กรัม \ตราโรซ่า")</f>
        <v>ซอสพริก \ บรรจุขวดแก้ว 200 กรัม \ตราโรซ่า</v>
      </c>
      <c r="D86" s="5">
        <f>IFERROR(__xludf.DUMMYFUNCTION("""COMPUTED_VALUE"""),4.0)</f>
        <v>4</v>
      </c>
      <c r="E86" s="5">
        <f>IFERROR(__xludf.DUMMYFUNCTION("""COMPUTED_VALUE"""),1.0)</f>
        <v>1</v>
      </c>
      <c r="F86" s="5">
        <f>IFERROR(__xludf.DUMMYFUNCTION("""COMPUTED_VALUE"""),8.850511321246E12)</f>
        <v>8850511321246</v>
      </c>
      <c r="G86" s="5" t="str">
        <f>IFERROR(__xludf.DUMMYFUNCTION("""COMPUTED_VALUE"""),"โรซ่าซอสพริก200cc")</f>
        <v>โรซ่าซอสพริก200cc</v>
      </c>
      <c r="H86" s="7">
        <f>IFERROR(__xludf.DUMMYFUNCTION("""COMPUTED_VALUE"""),15.0)</f>
        <v>15</v>
      </c>
      <c r="I86" s="7"/>
      <c r="J86" s="5"/>
    </row>
    <row r="87">
      <c r="A87" s="5">
        <f>IFERROR(__xludf.DUMMYFUNCTION("""COMPUTED_VALUE"""),1152205.0)</f>
        <v>1152205</v>
      </c>
      <c r="B87" s="6" t="str">
        <f>IFERROR(__xludf.DUMMYFUNCTION("""COMPUTED_VALUE"""),"1152205111070102")</f>
        <v>1152205111070102</v>
      </c>
      <c r="C87" s="5" t="str">
        <f>IFERROR(__xludf.DUMMYFUNCTION("""COMPUTED_VALUE"""),"ซอสพริก\ บรรจุขวดแก้ว 230 กรัม\ ตราภูเขาทอง สูตรเผ็ดน้อย")</f>
        <v>ซอสพริก\ บรรจุขวดแก้ว 230 กรัม\ ตราภูเขาทอง สูตรเผ็ดน้อย</v>
      </c>
      <c r="D87" s="5">
        <f>IFERROR(__xludf.DUMMYFUNCTION("""COMPUTED_VALUE"""),3.0)</f>
        <v>3</v>
      </c>
      <c r="E87" s="5">
        <f>IFERROR(__xludf.DUMMYFUNCTION("""COMPUTED_VALUE"""),2.0)</f>
        <v>2</v>
      </c>
      <c r="F87" s="5">
        <f>IFERROR(__xludf.DUMMYFUNCTION("""COMPUTED_VALUE"""),8.851954103116E12)</f>
        <v>8851954103116</v>
      </c>
      <c r="G87" s="5" t="str">
        <f>IFERROR(__xludf.DUMMYFUNCTION("""COMPUTED_VALUE"""),"ภูเขาทองซอสพริกเผ็ดน้อย230g")</f>
        <v>ภูเขาทองซอสพริกเผ็ดน้อย230g</v>
      </c>
      <c r="H87" s="7">
        <f>IFERROR(__xludf.DUMMYFUNCTION("""COMPUTED_VALUE"""),15.0)</f>
        <v>15</v>
      </c>
      <c r="I87" s="7"/>
      <c r="J87" s="5"/>
    </row>
    <row r="88">
      <c r="A88" s="5">
        <f>IFERROR(__xludf.DUMMYFUNCTION("""COMPUTED_VALUE"""),1152205.0)</f>
        <v>1152205</v>
      </c>
      <c r="B88" s="6" t="str">
        <f>IFERROR(__xludf.DUMMYFUNCTION("""COMPUTED_VALUE"""),"1152205211010101")</f>
        <v>1152205211010101</v>
      </c>
      <c r="C88" s="5" t="str">
        <f>IFERROR(__xludf.DUMMYFUNCTION("""COMPUTED_VALUE"""),"ซอสพริกศรีราชา\ บรรจุขวดแก้ว 670 กรัม\ ตราไฮคิว")</f>
        <v>ซอสพริกศรีราชา\ บรรจุขวดแก้ว 670 กรัม\ ตราไฮคิว</v>
      </c>
      <c r="D88" s="5">
        <f>IFERROR(__xludf.DUMMYFUNCTION("""COMPUTED_VALUE"""),1.0)</f>
        <v>1</v>
      </c>
      <c r="E88" s="5">
        <f>IFERROR(__xludf.DUMMYFUNCTION("""COMPUTED_VALUE"""),3.0)</f>
        <v>3</v>
      </c>
      <c r="F88" s="5">
        <f>IFERROR(__xludf.DUMMYFUNCTION("""COMPUTED_VALUE"""),8.850511321284E12)</f>
        <v>8850511321284</v>
      </c>
      <c r="G88" s="5" t="str">
        <f>IFERROR(__xludf.DUMMYFUNCTION("""COMPUTED_VALUE"""),"ไฮคิวซอสพริกศรีราชา670cc")</f>
        <v>ไฮคิวซอสพริกศรีราชา670cc</v>
      </c>
      <c r="H88" s="7">
        <f>IFERROR(__xludf.DUMMYFUNCTION("""COMPUTED_VALUE"""),27.0)</f>
        <v>27</v>
      </c>
      <c r="I88" s="7"/>
      <c r="J88" s="5"/>
    </row>
    <row r="89">
      <c r="A89" s="5">
        <f>IFERROR(__xludf.DUMMYFUNCTION("""COMPUTED_VALUE"""),1152206.0)</f>
        <v>1152206</v>
      </c>
      <c r="B89" s="6" t="str">
        <f>IFERROR(__xludf.DUMMYFUNCTION("""COMPUTED_VALUE"""),"1152206111040201")</f>
        <v>1152206111040201</v>
      </c>
      <c r="C89" s="5" t="str">
        <f>IFERROR(__xludf.DUMMYFUNCTION("""COMPUTED_VALUE"""),"ซอสมะเขือเทศ \ บรรจุขวดแก้ว 300 กรัม\ ตราโรซ่า")</f>
        <v>ซอสมะเขือเทศ \ บรรจุขวดแก้ว 300 กรัม\ ตราโรซ่า</v>
      </c>
      <c r="D89" s="5">
        <f>IFERROR(__xludf.DUMMYFUNCTION("""COMPUTED_VALUE"""),3.0)</f>
        <v>3</v>
      </c>
      <c r="E89" s="5">
        <f>IFERROR(__xludf.DUMMYFUNCTION("""COMPUTED_VALUE"""),1.0)</f>
        <v>1</v>
      </c>
      <c r="F89" s="5">
        <f>IFERROR(__xludf.DUMMYFUNCTION("""COMPUTED_VALUE"""),8.850511321147E12)</f>
        <v>8850511321147</v>
      </c>
      <c r="G89" s="5" t="str">
        <f>IFERROR(__xludf.DUMMYFUNCTION("""COMPUTED_VALUE"""),"โรซ่าซอสมะเขือเทศ300cc")</f>
        <v>โรซ่าซอสมะเขือเทศ300cc</v>
      </c>
      <c r="H89" s="7">
        <f>IFERROR(__xludf.DUMMYFUNCTION("""COMPUTED_VALUE"""),24.0)</f>
        <v>24</v>
      </c>
      <c r="I89" s="7">
        <f>IFERROR(__xludf.DUMMYFUNCTION("""COMPUTED_VALUE"""),21.0)</f>
        <v>21</v>
      </c>
      <c r="J89" s="5" t="str">
        <f>IFERROR(__xludf.DUMMYFUNCTION("""COMPUTED_VALUE"""),"PROMOTION MAIL (รอบ 25 ก.ย. - 24 ต.ค. 69)")</f>
        <v>PROMOTION MAIL (รอบ 25 ก.ย. - 24 ต.ค. 69)</v>
      </c>
    </row>
    <row r="90">
      <c r="A90" s="5">
        <f>IFERROR(__xludf.DUMMYFUNCTION("""COMPUTED_VALUE"""),1152206.0)</f>
        <v>1152206</v>
      </c>
      <c r="B90" s="6" t="str">
        <f>IFERROR(__xludf.DUMMYFUNCTION("""COMPUTED_VALUE"""),"1152206111040101")</f>
        <v>1152206111040101</v>
      </c>
      <c r="C90" s="5" t="str">
        <f>IFERROR(__xludf.DUMMYFUNCTION("""COMPUTED_VALUE"""),"ซอสมะเขือเทศ\ บรรจุขวดแก้ว 300 กรัม\ ตราไฮนซ์")</f>
        <v>ซอสมะเขือเทศ\ บรรจุขวดแก้ว 300 กรัม\ ตราไฮนซ์</v>
      </c>
      <c r="D90" s="5">
        <f>IFERROR(__xludf.DUMMYFUNCTION("""COMPUTED_VALUE"""),2.0)</f>
        <v>2</v>
      </c>
      <c r="E90" s="5">
        <f>IFERROR(__xludf.DUMMYFUNCTION("""COMPUTED_VALUE"""),2.0)</f>
        <v>2</v>
      </c>
      <c r="F90" s="5">
        <f>IFERROR(__xludf.DUMMYFUNCTION("""COMPUTED_VALUE"""),8.850343000166E12)</f>
        <v>8850343000166</v>
      </c>
      <c r="G90" s="5" t="str">
        <f>IFERROR(__xludf.DUMMYFUNCTION("""COMPUTED_VALUE"""),"ไฮนซ์ซอสมะเขือเทศ300ml")</f>
        <v>ไฮนซ์ซอสมะเขือเทศ300ml</v>
      </c>
      <c r="H90" s="7">
        <f>IFERROR(__xludf.DUMMYFUNCTION("""COMPUTED_VALUE"""),34.0)</f>
        <v>34</v>
      </c>
      <c r="I90" s="7"/>
      <c r="J90" s="5"/>
    </row>
    <row r="91">
      <c r="A91" s="5">
        <f>IFERROR(__xludf.DUMMYFUNCTION("""COMPUTED_VALUE"""),1152206.0)</f>
        <v>1152206</v>
      </c>
      <c r="B91" s="6" t="str">
        <f>IFERROR(__xludf.DUMMYFUNCTION("""COMPUTED_VALUE"""),"1152206111030101")</f>
        <v>1152206111030101</v>
      </c>
      <c r="C91" s="5" t="str">
        <f>IFERROR(__xludf.DUMMYFUNCTION("""COMPUTED_VALUE"""),"ซอสมะเขือเทศ \บรรจุขวดแก้ว 310 กรัม \ตราโรซ่า")</f>
        <v>ซอสมะเขือเทศ \บรรจุขวดแก้ว 310 กรัม \ตราโรซ่า</v>
      </c>
      <c r="D91" s="5">
        <f>IFERROR(__xludf.DUMMYFUNCTION("""COMPUTED_VALUE"""),1.0)</f>
        <v>1</v>
      </c>
      <c r="E91" s="5">
        <f>IFERROR(__xludf.DUMMYFUNCTION("""COMPUTED_VALUE"""),3.0)</f>
        <v>3</v>
      </c>
      <c r="F91" s="5">
        <f>IFERROR(__xludf.DUMMYFUNCTION("""COMPUTED_VALUE"""),8.85051152108E12)</f>
        <v>8850511521080</v>
      </c>
      <c r="G91" s="5" t="str">
        <f>IFERROR(__xludf.DUMMYFUNCTION("""COMPUTED_VALUE"""),"โรซ่ามะเขือเทศเข้มข้นผสมไลโคปีน 310g")</f>
        <v>โรซ่ามะเขือเทศเข้มข้นผสมไลโคปีน 310g</v>
      </c>
      <c r="H91" s="7">
        <f>IFERROR(__xludf.DUMMYFUNCTION("""COMPUTED_VALUE"""),55.0)</f>
        <v>55</v>
      </c>
      <c r="I91" s="7"/>
      <c r="J91" s="5"/>
    </row>
    <row r="92">
      <c r="A92" s="5">
        <f>IFERROR(__xludf.DUMMYFUNCTION("""COMPUTED_VALUE"""),1152206.0)</f>
        <v>1152206</v>
      </c>
      <c r="B92" s="6" t="str">
        <f>IFERROR(__xludf.DUMMYFUNCTION("""COMPUTED_VALUE"""),"1152206112010101")</f>
        <v>1152206112010101</v>
      </c>
      <c r="C92" s="5" t="str">
        <f>IFERROR(__xludf.DUMMYFUNCTION("""COMPUTED_VALUE"""),"ซอสมะเขือเทศ \บรรจุขวดบีบพลาสติก 250 กรัม \ตราโรซ่า")</f>
        <v>ซอสมะเขือเทศ \บรรจุขวดบีบพลาสติก 250 กรัม \ตราโรซ่า</v>
      </c>
      <c r="D92" s="5">
        <f>IFERROR(__xludf.DUMMYFUNCTION("""COMPUTED_VALUE"""),1.0)</f>
        <v>1</v>
      </c>
      <c r="E92" s="5">
        <f>IFERROR(__xludf.DUMMYFUNCTION("""COMPUTED_VALUE"""),4.0)</f>
        <v>4</v>
      </c>
      <c r="F92" s="5">
        <f>IFERROR(__xludf.DUMMYFUNCTION("""COMPUTED_VALUE"""),8.850511321123E12)</f>
        <v>8850511321123</v>
      </c>
      <c r="G92" s="5" t="str">
        <f>IFERROR(__xludf.DUMMYFUNCTION("""COMPUTED_VALUE"""),"โรซ่าซอสมะเขือเทศ250g")</f>
        <v>โรซ่าซอสมะเขือเทศ250g</v>
      </c>
      <c r="H92" s="7">
        <f>IFERROR(__xludf.DUMMYFUNCTION("""COMPUTED_VALUE"""),31.0)</f>
        <v>31</v>
      </c>
      <c r="I92" s="7"/>
      <c r="J92" s="5"/>
    </row>
    <row r="93">
      <c r="A93" s="5">
        <f>IFERROR(__xludf.DUMMYFUNCTION("""COMPUTED_VALUE"""),1152209.0)</f>
        <v>1152209</v>
      </c>
      <c r="B93" s="6" t="str">
        <f>IFERROR(__xludf.DUMMYFUNCTION("""COMPUTED_VALUE"""),"1152209111090501")</f>
        <v>1152209111090501</v>
      </c>
      <c r="C93" s="5" t="str">
        <f>IFERROR(__xludf.DUMMYFUNCTION("""COMPUTED_VALUE"""),"กะปิ ผลิตจากกุ้ง คุณภาพปานกลาง\200 กรัม กล่องพลาสติก \ตราลูกเผ็ด")</f>
        <v>กะปิ ผลิตจากกุ้ง คุณภาพปานกลาง\200 กรัม กล่องพลาสติก \ตราลูกเผ็ด</v>
      </c>
      <c r="D93" s="5">
        <f>IFERROR(__xludf.DUMMYFUNCTION("""COMPUTED_VALUE"""),3.0)</f>
        <v>3</v>
      </c>
      <c r="E93" s="5">
        <f>IFERROR(__xludf.DUMMYFUNCTION("""COMPUTED_VALUE"""),2.0)</f>
        <v>2</v>
      </c>
      <c r="F93" s="5">
        <f>IFERROR(__xludf.DUMMYFUNCTION("""COMPUTED_VALUE"""),8.857127281209E12)</f>
        <v>8857127281209</v>
      </c>
      <c r="G93" s="5" t="str">
        <f>IFERROR(__xludf.DUMMYFUNCTION("""COMPUTED_VALUE"""),"ลูกเผ็ดกะปิ200g")</f>
        <v>ลูกเผ็ดกะปิ200g</v>
      </c>
      <c r="H93" s="7">
        <f>IFERROR(__xludf.DUMMYFUNCTION("""COMPUTED_VALUE"""),45.0)</f>
        <v>45</v>
      </c>
      <c r="I93" s="7">
        <f>IFERROR(__xludf.DUMMYFUNCTION("""COMPUTED_VALUE"""),42.0)</f>
        <v>42</v>
      </c>
      <c r="J93" s="5"/>
    </row>
    <row r="94">
      <c r="A94" s="5">
        <f>IFERROR(__xludf.DUMMYFUNCTION("""COMPUTED_VALUE"""),1152209.0)</f>
        <v>1152209</v>
      </c>
      <c r="B94" s="6" t="str">
        <f>IFERROR(__xludf.DUMMYFUNCTION("""COMPUTED_VALUE"""),"1152209111140301")</f>
        <v>1152209111140301</v>
      </c>
      <c r="C94" s="5" t="str">
        <f>IFERROR(__xludf.DUMMYFUNCTION("""COMPUTED_VALUE"""),"กะปิ ผลิตจากกุ้ง คุณภาพปานกลาง\100 กรัม กล่องพลาสติก \ตราหลวงไก่")</f>
        <v>กะปิ ผลิตจากกุ้ง คุณภาพปานกลาง\100 กรัม กล่องพลาสติก \ตราหลวงไก่</v>
      </c>
      <c r="D94" s="5">
        <f>IFERROR(__xludf.DUMMYFUNCTION("""COMPUTED_VALUE"""),1.0)</f>
        <v>1</v>
      </c>
      <c r="E94" s="5">
        <f>IFERROR(__xludf.DUMMYFUNCTION("""COMPUTED_VALUE"""),3.0)</f>
        <v>3</v>
      </c>
      <c r="F94" s="5">
        <f>IFERROR(__xludf.DUMMYFUNCTION("""COMPUTED_VALUE"""),8.859754700016E12)</f>
        <v>8859754700016</v>
      </c>
      <c r="G94" s="5" t="str">
        <f>IFERROR(__xludf.DUMMYFUNCTION("""COMPUTED_VALUE"""),"หลวงไก่กะปิกุ้งเคยแท้100g")</f>
        <v>หลวงไก่กะปิกุ้งเคยแท้100g</v>
      </c>
      <c r="H94" s="7">
        <f>IFERROR(__xludf.DUMMYFUNCTION("""COMPUTED_VALUE"""),20.0)</f>
        <v>20</v>
      </c>
      <c r="I94" s="7"/>
      <c r="J94" s="5"/>
    </row>
    <row r="95">
      <c r="A95" s="5">
        <f>IFERROR(__xludf.DUMMYFUNCTION("""COMPUTED_VALUE"""),1152209.0)</f>
        <v>1152209</v>
      </c>
      <c r="B95" s="6" t="str">
        <f>IFERROR(__xludf.DUMMYFUNCTION("""COMPUTED_VALUE"""),"1152209111080701")</f>
        <v>1152209111080701</v>
      </c>
      <c r="C95" s="5" t="str">
        <f>IFERROR(__xludf.DUMMYFUNCTION("""COMPUTED_VALUE"""),"กะปิ ผลิตจากกุ้ง คุณภาพปานกลาง\90 กรัม กล่องพลาสติด\ ตรา ตราชู ตราชั่ง")</f>
        <v>กะปิ ผลิตจากกุ้ง คุณภาพปานกลาง\90 กรัม กล่องพลาสติด\ ตรา ตราชู ตราชั่ง</v>
      </c>
      <c r="D95" s="5">
        <f>IFERROR(__xludf.DUMMYFUNCTION("""COMPUTED_VALUE"""),1.0)</f>
        <v>1</v>
      </c>
      <c r="E95" s="5">
        <f>IFERROR(__xludf.DUMMYFUNCTION("""COMPUTED_VALUE"""),4.0)</f>
        <v>4</v>
      </c>
      <c r="F95" s="5">
        <f>IFERROR(__xludf.DUMMYFUNCTION("""COMPUTED_VALUE"""),8.850180060019E12)</f>
        <v>8850180060019</v>
      </c>
      <c r="G95" s="5" t="str">
        <f>IFERROR(__xludf.DUMMYFUNCTION("""COMPUTED_VALUE"""),"ตราชั่งกะปิ90g")</f>
        <v>ตราชั่งกะปิ90g</v>
      </c>
      <c r="H95" s="7">
        <f>IFERROR(__xludf.DUMMYFUNCTION("""COMPUTED_VALUE"""),30.0)</f>
        <v>30</v>
      </c>
      <c r="I95" s="7"/>
      <c r="J95" s="5"/>
    </row>
    <row r="96">
      <c r="A96" s="5">
        <f>IFERROR(__xludf.DUMMYFUNCTION("""COMPUTED_VALUE"""),1152211.0)</f>
        <v>1152211</v>
      </c>
      <c r="B96" s="6" t="str">
        <f>IFERROR(__xludf.DUMMYFUNCTION("""COMPUTED_VALUE"""),"1152211111111010")</f>
        <v>1152211111111010</v>
      </c>
      <c r="C96" s="5" t="str">
        <f>IFERROR(__xludf.DUMMYFUNCTION("""COMPUTED_VALUE"""),"เครื่องปรุงรส (ซุปก้อน) สกัดจากเนื้อหมู \บรรจุกล่องกระดาษ 40กรัม (4 ก้อน) \ตราคนอร์")</f>
        <v>เครื่องปรุงรส (ซุปก้อน) สกัดจากเนื้อหมู \บรรจุกล่องกระดาษ 40กรัม (4 ก้อน) \ตราคนอร์</v>
      </c>
      <c r="D96" s="5">
        <f>IFERROR(__xludf.DUMMYFUNCTION("""COMPUTED_VALUE"""),2.0)</f>
        <v>2</v>
      </c>
      <c r="E96" s="5">
        <f>IFERROR(__xludf.DUMMYFUNCTION("""COMPUTED_VALUE"""),1.0)</f>
        <v>1</v>
      </c>
      <c r="F96" s="5">
        <f>IFERROR(__xludf.DUMMYFUNCTION("""COMPUTED_VALUE"""),8.850144206477E12)</f>
        <v>8850144206477</v>
      </c>
      <c r="G96" s="5" t="str">
        <f>IFERROR(__xludf.DUMMYFUNCTION("""COMPUTED_VALUE"""),"คนอร์ซุปก้อนรสหมู40g")</f>
        <v>คนอร์ซุปก้อนรสหมู40g</v>
      </c>
      <c r="H96" s="7">
        <f>IFERROR(__xludf.DUMMYFUNCTION("""COMPUTED_VALUE"""),11.0)</f>
        <v>11</v>
      </c>
      <c r="I96" s="7"/>
      <c r="J96" s="5"/>
    </row>
    <row r="97">
      <c r="A97" s="5">
        <f>IFERROR(__xludf.DUMMYFUNCTION("""COMPUTED_VALUE"""),1152211.0)</f>
        <v>1152211</v>
      </c>
      <c r="B97" s="6" t="str">
        <f>IFERROR(__xludf.DUMMYFUNCTION("""COMPUTED_VALUE"""),"1152211511030101")</f>
        <v>1152211511030101</v>
      </c>
      <c r="C97" s="5" t="str">
        <f>IFERROR(__xludf.DUMMYFUNCTION("""COMPUTED_VALUE"""),"เครื่องปรุงรส (ชนิดผง) สกัดจากเนื้อหมู\บรรจุถุงพลาสติก 165 กรัม \ตรารสดี")</f>
        <v>เครื่องปรุงรส (ชนิดผง) สกัดจากเนื้อหมู\บรรจุถุงพลาสติก 165 กรัม \ตรารสดี</v>
      </c>
      <c r="D97" s="5">
        <f>IFERROR(__xludf.DUMMYFUNCTION("""COMPUTED_VALUE"""),1.0)</f>
        <v>1</v>
      </c>
      <c r="E97" s="5">
        <f>IFERROR(__xludf.DUMMYFUNCTION("""COMPUTED_VALUE"""),2.0)</f>
        <v>2</v>
      </c>
      <c r="F97" s="5">
        <f>IFERROR(__xludf.DUMMYFUNCTION("""COMPUTED_VALUE"""),8.850250001782E12)</f>
        <v>8850250001782</v>
      </c>
      <c r="G97" s="5" t="str">
        <f>IFERROR(__xludf.DUMMYFUNCTION("""COMPUTED_VALUE"""),"รสดีผงปรุงรสหมู165g")</f>
        <v>รสดีผงปรุงรสหมู165g</v>
      </c>
      <c r="H97" s="7"/>
      <c r="I97" s="7"/>
      <c r="J97" s="5"/>
    </row>
    <row r="98">
      <c r="A98" s="5">
        <f>IFERROR(__xludf.DUMMYFUNCTION("""COMPUTED_VALUE"""),1152211.0)</f>
        <v>1152211</v>
      </c>
      <c r="B98" s="6" t="str">
        <f>IFERROR(__xludf.DUMMYFUNCTION("""COMPUTED_VALUE"""),"1152211111090101")</f>
        <v>1152211111090101</v>
      </c>
      <c r="C98" s="5" t="str">
        <f>IFERROR(__xludf.DUMMYFUNCTION("""COMPUTED_VALUE"""),"เครื่องปรุงรส (ซุปก้อน) สกัดจากเนื้อหมู \บรรจุกล่องกระดาษ 80 กรัม (8 ก้อน) \ตราคนอร์")</f>
        <v>เครื่องปรุงรส (ซุปก้อน) สกัดจากเนื้อหมู \บรรจุกล่องกระดาษ 80 กรัม (8 ก้อน) \ตราคนอร์</v>
      </c>
      <c r="D98" s="5">
        <f>IFERROR(__xludf.DUMMYFUNCTION("""COMPUTED_VALUE"""),1.0)</f>
        <v>1</v>
      </c>
      <c r="E98" s="5">
        <f>IFERROR(__xludf.DUMMYFUNCTION("""COMPUTED_VALUE"""),4.0)</f>
        <v>4</v>
      </c>
      <c r="F98" s="5">
        <f>IFERROR(__xludf.DUMMYFUNCTION("""COMPUTED_VALUE"""),8.850144206576E12)</f>
        <v>8850144206576</v>
      </c>
      <c r="G98" s="5" t="str">
        <f>IFERROR(__xludf.DUMMYFUNCTION("""COMPUTED_VALUE"""),"คนอร์ซุปก้อนรสหมู80g")</f>
        <v>คนอร์ซุปก้อนรสหมู80g</v>
      </c>
      <c r="H98" s="7">
        <f>IFERROR(__xludf.DUMMYFUNCTION("""COMPUTED_VALUE"""),20.0)</f>
        <v>20</v>
      </c>
      <c r="I98" s="7">
        <f>IFERROR(__xludf.DUMMYFUNCTION("""COMPUTED_VALUE"""),18.0)</f>
        <v>18</v>
      </c>
      <c r="J98" s="5" t="str">
        <f>IFERROR(__xludf.DUMMYFUNCTION("""COMPUTED_VALUE"""),"EDLP 15 AUG-14 NOV 2026")</f>
        <v>EDLP 15 AUG-14 NOV 2026</v>
      </c>
    </row>
    <row r="99">
      <c r="A99" s="5">
        <f>IFERROR(__xludf.DUMMYFUNCTION("""COMPUTED_VALUE"""),1152212.0)</f>
        <v>1152212</v>
      </c>
      <c r="B99" s="6" t="str">
        <f>IFERROR(__xludf.DUMMYFUNCTION("""COMPUTED_VALUE"""),"1152212111500101")</f>
        <v>1152212111500101</v>
      </c>
      <c r="C99" s="5" t="str">
        <f>IFERROR(__xludf.DUMMYFUNCTION("""COMPUTED_VALUE"""),"ผงชูรส \บรรจุซอง 72 กรัม\ตรา อะยิโนะโมโต๊ะ (ถ้วยแดง)")</f>
        <v>ผงชูรส \บรรจุซอง 72 กรัม\ตรา อะยิโนะโมโต๊ะ (ถ้วยแดง)</v>
      </c>
      <c r="D99" s="5">
        <f>IFERROR(__xludf.DUMMYFUNCTION("""COMPUTED_VALUE"""),3.0)</f>
        <v>3</v>
      </c>
      <c r="E99" s="5">
        <f>IFERROR(__xludf.DUMMYFUNCTION("""COMPUTED_VALUE"""),1.0)</f>
        <v>1</v>
      </c>
      <c r="F99" s="5">
        <f>IFERROR(__xludf.DUMMYFUNCTION("""COMPUTED_VALUE"""),8.850250001669E12)</f>
        <v>8850250001669</v>
      </c>
      <c r="G99" s="5" t="str">
        <f>IFERROR(__xludf.DUMMYFUNCTION("""COMPUTED_VALUE"""),"อายิโนะโมะโต๊ะผงชูรส72g")</f>
        <v>อายิโนะโมะโต๊ะผงชูรส72g</v>
      </c>
      <c r="H99" s="7">
        <f>IFERROR(__xludf.DUMMYFUNCTION("""COMPUTED_VALUE"""),10.0)</f>
        <v>10</v>
      </c>
      <c r="I99" s="7"/>
      <c r="J99" s="5"/>
    </row>
    <row r="100">
      <c r="A100" s="5">
        <f>IFERROR(__xludf.DUMMYFUNCTION("""COMPUTED_VALUE"""),1152212.0)</f>
        <v>1152212</v>
      </c>
      <c r="B100" s="6" t="str">
        <f>IFERROR(__xludf.DUMMYFUNCTION("""COMPUTED_VALUE"""),"1152212111010101")</f>
        <v>1152212111010101</v>
      </c>
      <c r="C100" s="5" t="str">
        <f>IFERROR(__xludf.DUMMYFUNCTION("""COMPUTED_VALUE"""),"ผงชูรส \บรรจุซอง 500 กรัม \ตราอายิโนะโมะโต๊ะ (ถ้วยแดง)")</f>
        <v>ผงชูรส \บรรจุซอง 500 กรัม \ตราอายิโนะโมะโต๊ะ (ถ้วยแดง)</v>
      </c>
      <c r="D100" s="5">
        <f>IFERROR(__xludf.DUMMYFUNCTION("""COMPUTED_VALUE"""),1.0)</f>
        <v>1</v>
      </c>
      <c r="E100" s="5">
        <f>IFERROR(__xludf.DUMMYFUNCTION("""COMPUTED_VALUE"""),2.0)</f>
        <v>2</v>
      </c>
      <c r="F100" s="5">
        <f>IFERROR(__xludf.DUMMYFUNCTION("""COMPUTED_VALUE"""),8.850250007357E12)</f>
        <v>8850250007357</v>
      </c>
      <c r="G100" s="5" t="str">
        <f>IFERROR(__xludf.DUMMYFUNCTION("""COMPUTED_VALUE"""),"อายิโนะโมะโต๊ะผงชูรส500g")</f>
        <v>อายิโนะโมะโต๊ะผงชูรส500g</v>
      </c>
      <c r="H100" s="7"/>
      <c r="I100" s="7"/>
      <c r="J100" s="5"/>
    </row>
    <row r="101">
      <c r="A101" s="5">
        <f>IFERROR(__xludf.DUMMYFUNCTION("""COMPUTED_VALUE"""),1152212.0)</f>
        <v>1152212</v>
      </c>
      <c r="B101" s="6" t="str">
        <f>IFERROR(__xludf.DUMMYFUNCTION("""COMPUTED_VALUE"""),"1152212111100601")</f>
        <v>1152212111100601</v>
      </c>
      <c r="C101" s="5" t="str">
        <f>IFERROR(__xludf.DUMMYFUNCTION("""COMPUTED_VALUE"""),"ผงชูรส\บรรจุซอง 250 กรัม\ ตราดีเด็ด")</f>
        <v>ผงชูรส\บรรจุซอง 250 กรัม\ ตราดีเด็ด</v>
      </c>
      <c r="D101" s="5">
        <f>IFERROR(__xludf.DUMMYFUNCTION("""COMPUTED_VALUE"""),1.0)</f>
        <v>1</v>
      </c>
      <c r="E101" s="5">
        <f>IFERROR(__xludf.DUMMYFUNCTION("""COMPUTED_VALUE"""),3.0)</f>
        <v>3</v>
      </c>
      <c r="F101" s="5">
        <f>IFERROR(__xludf.DUMMYFUNCTION("""COMPUTED_VALUE"""),8.859333707467E12)</f>
        <v>8859333707467</v>
      </c>
      <c r="G101" s="5" t="str">
        <f>IFERROR(__xludf.DUMMYFUNCTION("""COMPUTED_VALUE"""),"ดีเด็ดผงชูรส 250g")</f>
        <v>ดีเด็ดผงชูรส 250g</v>
      </c>
      <c r="H101" s="7">
        <f>IFERROR(__xludf.DUMMYFUNCTION("""COMPUTED_VALUE"""),28.0)</f>
        <v>28</v>
      </c>
      <c r="I101" s="7"/>
      <c r="J101" s="5" t="str">
        <f>IFERROR(__xludf.DUMMYFUNCTION("""COMPUTED_VALUE"""),"PROMOTION 7DAY รอบ 1-7 ต.ค. 69")</f>
        <v>PROMOTION 7DAY รอบ 1-7 ต.ค. 69</v>
      </c>
    </row>
    <row r="102">
      <c r="A102" s="5">
        <f>IFERROR(__xludf.DUMMYFUNCTION("""COMPUTED_VALUE"""),1152212.0)</f>
        <v>1152212</v>
      </c>
      <c r="B102" s="6" t="str">
        <f>IFERROR(__xludf.DUMMYFUNCTION("""COMPUTED_VALUE"""),"1152212111100101")</f>
        <v>1152212111100101</v>
      </c>
      <c r="C102" s="5" t="str">
        <f>IFERROR(__xludf.DUMMYFUNCTION("""COMPUTED_VALUE"""),"ผงชูรส\บรรจุซอง 250 กรัม\ ตราอะยิโนะโมโต๊ะ (ถ้วยแดง)")</f>
        <v>ผงชูรส\บรรจุซอง 250 กรัม\ ตราอะยิโนะโมโต๊ะ (ถ้วยแดง)</v>
      </c>
      <c r="D102" s="5">
        <f>IFERROR(__xludf.DUMMYFUNCTION("""COMPUTED_VALUE"""),1.0)</f>
        <v>1</v>
      </c>
      <c r="E102" s="5">
        <f>IFERROR(__xludf.DUMMYFUNCTION("""COMPUTED_VALUE"""),4.0)</f>
        <v>4</v>
      </c>
      <c r="F102" s="5">
        <f>IFERROR(__xludf.DUMMYFUNCTION("""COMPUTED_VALUE"""),8.85025000734E12)</f>
        <v>8850250007340</v>
      </c>
      <c r="G102" s="5" t="str">
        <f>IFERROR(__xludf.DUMMYFUNCTION("""COMPUTED_VALUE"""),"อายิโนะโมะโต๊ะผงชูรส250g")</f>
        <v>อายิโนะโมะโต๊ะผงชูรส250g</v>
      </c>
      <c r="H102" s="7"/>
      <c r="I102" s="7"/>
      <c r="J102" s="5"/>
    </row>
    <row r="103">
      <c r="A103" s="5">
        <f>IFERROR(__xludf.DUMMYFUNCTION("""COMPUTED_VALUE"""),1152213.0)</f>
        <v>1152213</v>
      </c>
      <c r="B103" s="6" t="str">
        <f>IFERROR(__xludf.DUMMYFUNCTION("""COMPUTED_VALUE"""),"1152213111020201")</f>
        <v>1152213111020201</v>
      </c>
      <c r="C103" s="5" t="str">
        <f>IFERROR(__xludf.DUMMYFUNCTION("""COMPUTED_VALUE"""),"น้ำพริกแกง สำเร็จรูป/ บรรจุถุง 1 ขีด /สำหรับแกงเผ็ด สีแดงสด /ตราน้ำใจ")</f>
        <v>น้ำพริกแกง สำเร็จรูป/ บรรจุถุง 1 ขีด /สำหรับแกงเผ็ด สีแดงสด /ตราน้ำใจ</v>
      </c>
      <c r="D103" s="5">
        <f>IFERROR(__xludf.DUMMYFUNCTION("""COMPUTED_VALUE"""),4.0)</f>
        <v>4</v>
      </c>
      <c r="E103" s="5">
        <f>IFERROR(__xludf.DUMMYFUNCTION("""COMPUTED_VALUE"""),1.0)</f>
        <v>1</v>
      </c>
      <c r="F103" s="5">
        <f>IFERROR(__xludf.DUMMYFUNCTION("""COMPUTED_VALUE"""),8.850173310145E12)</f>
        <v>8850173310145</v>
      </c>
      <c r="G103" s="5" t="str">
        <f>IFERROR(__xludf.DUMMYFUNCTION("""COMPUTED_VALUE"""),"น้ำใจน้ำพริกแกงเผ็ด100g")</f>
        <v>น้ำใจน้ำพริกแกงเผ็ด100g</v>
      </c>
      <c r="H103" s="7">
        <f>IFERROR(__xludf.DUMMYFUNCTION("""COMPUTED_VALUE"""),20.0)</f>
        <v>20</v>
      </c>
      <c r="I103" s="7"/>
      <c r="J103" s="5"/>
    </row>
    <row r="104">
      <c r="A104" s="5">
        <f>IFERROR(__xludf.DUMMYFUNCTION("""COMPUTED_VALUE"""),1152216.0)</f>
        <v>1152216</v>
      </c>
      <c r="B104" s="6" t="str">
        <f>IFERROR(__xludf.DUMMYFUNCTION("""COMPUTED_VALUE"""),"1152216111010103")</f>
        <v>1152216111010103</v>
      </c>
      <c r="C104" s="5" t="str">
        <f>IFERROR(__xludf.DUMMYFUNCTION("""COMPUTED_VALUE"""),"น้ำปลาร้า (ปรุงสำเร็จ) บรรจุขวดพลาสติก \ขนาด 330 มล. \ตราแซ่บไมค์ สูตรส้มตำ")</f>
        <v>น้ำปลาร้า (ปรุงสำเร็จ) บรรจุขวดพลาสติก \ขนาด 330 มล. \ตราแซ่บไมค์ สูตรส้มตำ</v>
      </c>
      <c r="D104" s="5">
        <f>IFERROR(__xludf.DUMMYFUNCTION("""COMPUTED_VALUE"""),2.0)</f>
        <v>2</v>
      </c>
      <c r="E104" s="5">
        <f>IFERROR(__xludf.DUMMYFUNCTION("""COMPUTED_VALUE"""),1.0)</f>
        <v>1</v>
      </c>
      <c r="F104" s="5">
        <f>IFERROR(__xludf.DUMMYFUNCTION("""COMPUTED_VALUE"""),8.858981500901E12)</f>
        <v>8858981500901</v>
      </c>
      <c r="G104" s="5" t="str">
        <f>IFERROR(__xludf.DUMMYFUNCTION("""COMPUTED_VALUE"""),"แซ่บไมค์น้ำปลาร้าปรุงสุก330ml")</f>
        <v>แซ่บไมค์น้ำปลาร้าปรุงสุก330ml</v>
      </c>
      <c r="H104" s="7">
        <f>IFERROR(__xludf.DUMMYFUNCTION("""COMPUTED_VALUE"""),39.0)</f>
        <v>39</v>
      </c>
      <c r="I104" s="7">
        <f>IFERROR(__xludf.DUMMYFUNCTION("""COMPUTED_VALUE"""),37.0)</f>
        <v>37</v>
      </c>
      <c r="J104" s="5" t="str">
        <f>IFERROR(__xludf.DUMMYFUNCTION("""COMPUTED_VALUE"""),"PROMOTION MAIL (รอบ 25 ก.ย. - 24 ต.ค. 69)")</f>
        <v>PROMOTION MAIL (รอบ 25 ก.ย. - 24 ต.ค. 69)</v>
      </c>
    </row>
    <row r="105">
      <c r="A105" s="5">
        <f>IFERROR(__xludf.DUMMYFUNCTION("""COMPUTED_VALUE"""),1152216.0)</f>
        <v>1152216</v>
      </c>
      <c r="B105" s="6" t="str">
        <f>IFERROR(__xludf.DUMMYFUNCTION("""COMPUTED_VALUE"""),"1152216111040101")</f>
        <v>1152216111040101</v>
      </c>
      <c r="C105" s="5" t="str">
        <f>IFERROR(__xludf.DUMMYFUNCTION("""COMPUTED_VALUE"""),"น้ำปลาร้า (ปรุงสำเร็จ) บรรจุขวดพลาสติก \ขนาด 400 มล. \ตรา แม่บุญล้ำ สูตรปรุงสำเร็จ (ฝาสีเเดง)")</f>
        <v>น้ำปลาร้า (ปรุงสำเร็จ) บรรจุขวดพลาสติก \ขนาด 400 มล. \ตรา แม่บุญล้ำ สูตรปรุงสำเร็จ (ฝาสีเเดง)</v>
      </c>
      <c r="D105" s="5">
        <f>IFERROR(__xludf.DUMMYFUNCTION("""COMPUTED_VALUE"""),2.0)</f>
        <v>2</v>
      </c>
      <c r="E105" s="5">
        <f>IFERROR(__xludf.DUMMYFUNCTION("""COMPUTED_VALUE"""),2.0)</f>
        <v>2</v>
      </c>
      <c r="F105" s="5">
        <f>IFERROR(__xludf.DUMMYFUNCTION("""COMPUTED_VALUE"""),8.85898150068E12)</f>
        <v>8858981500680</v>
      </c>
      <c r="G105" s="5" t="str">
        <f>IFERROR(__xludf.DUMMYFUNCTION("""COMPUTED_VALUE"""),"แม่บุญล้ำน้ำปลาร้าสูตรปรุงสำเร็จ400ml")</f>
        <v>แม่บุญล้ำน้ำปลาร้าสูตรปรุงสำเร็จ400ml</v>
      </c>
      <c r="H105" s="7">
        <f>IFERROR(__xludf.DUMMYFUNCTION("""COMPUTED_VALUE"""),33.0)</f>
        <v>33</v>
      </c>
      <c r="I105" s="7"/>
      <c r="J105" s="5"/>
    </row>
    <row r="106">
      <c r="A106" s="5">
        <f>IFERROR(__xludf.DUMMYFUNCTION("""COMPUTED_VALUE"""),1160001.0)</f>
        <v>1160001</v>
      </c>
      <c r="B106" s="6" t="str">
        <f>IFERROR(__xludf.DUMMYFUNCTION("""COMPUTED_VALUE"""),"1160001115110101")</f>
        <v>1160001115110101</v>
      </c>
      <c r="C106" s="5" t="str">
        <f>IFERROR(__xludf.DUMMYFUNCTION("""COMPUTED_VALUE"""),"เครื่องดื่มรสช็อกโกแลต\ บรรจุถุงพลาสติก 280 กรัม \ตราโอวันติน")</f>
        <v>เครื่องดื่มรสช็อกโกแลต\ บรรจุถุงพลาสติก 280 กรัม \ตราโอวันติน</v>
      </c>
      <c r="D106" s="5">
        <f>IFERROR(__xludf.DUMMYFUNCTION("""COMPUTED_VALUE"""),3.0)</f>
        <v>3</v>
      </c>
      <c r="E106" s="5">
        <f>IFERROR(__xludf.DUMMYFUNCTION("""COMPUTED_VALUE"""),1.0)</f>
        <v>1</v>
      </c>
      <c r="F106" s="5">
        <f>IFERROR(__xludf.DUMMYFUNCTION("""COMPUTED_VALUE"""),8.850086133008E12)</f>
        <v>8850086133008</v>
      </c>
      <c r="G106" s="5" t="str">
        <f>IFERROR(__xludf.DUMMYFUNCTION("""COMPUTED_VALUE"""),"โอวัลตินเครื่องดื่มมอลต์ช็อกโกแลต280g")</f>
        <v>โอวัลตินเครื่องดื่มมอลต์ช็อกโกแลต280g</v>
      </c>
      <c r="H106" s="7"/>
      <c r="I106" s="7"/>
      <c r="J106" s="5"/>
    </row>
    <row r="107">
      <c r="A107" s="5">
        <f>IFERROR(__xludf.DUMMYFUNCTION("""COMPUTED_VALUE"""),1160001.0)</f>
        <v>1160001</v>
      </c>
      <c r="B107" s="6" t="str">
        <f>IFERROR(__xludf.DUMMYFUNCTION("""COMPUTED_VALUE"""),"1160001119110101")</f>
        <v>1160001119110101</v>
      </c>
      <c r="C107" s="5" t="str">
        <f>IFERROR(__xludf.DUMMYFUNCTION("""COMPUTED_VALUE"""),"เครื่องดื่มรสช็อกโกแลต\ บรรจุถุงพลาสติก 120 กรัม \ตราไมโล สูตร Active-go")</f>
        <v>เครื่องดื่มรสช็อกโกแลต\ บรรจุถุงพลาสติก 120 กรัม \ตราไมโล สูตร Active-go</v>
      </c>
      <c r="D107" s="5">
        <f>IFERROR(__xludf.DUMMYFUNCTION("""COMPUTED_VALUE"""),3.0)</f>
        <v>3</v>
      </c>
      <c r="E107" s="5">
        <f>IFERROR(__xludf.DUMMYFUNCTION("""COMPUTED_VALUE"""),2.0)</f>
        <v>2</v>
      </c>
      <c r="F107" s="5">
        <f>IFERROR(__xludf.DUMMYFUNCTION("""COMPUTED_VALUE"""),8.850127010077E12)</f>
        <v>8850127010077</v>
      </c>
      <c r="G107" s="5" t="str">
        <f>IFERROR(__xludf.DUMMYFUNCTION("""COMPUTED_VALUE"""),"ไมโลช็อกโกแลตมอลต์แอคทีฟโก120g")</f>
        <v>ไมโลช็อกโกแลตมอลต์แอคทีฟโก120g</v>
      </c>
      <c r="H107" s="7"/>
      <c r="I107" s="7"/>
      <c r="J107" s="5"/>
    </row>
    <row r="108">
      <c r="A108" s="5">
        <f>IFERROR(__xludf.DUMMYFUNCTION("""COMPUTED_VALUE"""),1160001.0)</f>
        <v>1160001</v>
      </c>
      <c r="B108" s="6" t="str">
        <f>IFERROR(__xludf.DUMMYFUNCTION("""COMPUTED_VALUE"""),"1160001111010101")</f>
        <v>1160001111010101</v>
      </c>
      <c r="C108" s="5" t="str">
        <f>IFERROR(__xludf.DUMMYFUNCTION("""COMPUTED_VALUE"""),"เครื่องดื่มรสช็อกโกแลต สูตร 1 \ บรรจุขวดแก้ว 400 กรัม \ ตราโอวัลติน")</f>
        <v>เครื่องดื่มรสช็อกโกแลต สูตร 1 \ บรรจุขวดแก้ว 400 กรัม \ ตราโอวัลติน</v>
      </c>
      <c r="D108" s="5">
        <f>IFERROR(__xludf.DUMMYFUNCTION("""COMPUTED_VALUE"""),1.0)</f>
        <v>1</v>
      </c>
      <c r="E108" s="5">
        <f>IFERROR(__xludf.DUMMYFUNCTION("""COMPUTED_VALUE"""),3.0)</f>
        <v>3</v>
      </c>
      <c r="F108" s="5">
        <f>IFERROR(__xludf.DUMMYFUNCTION("""COMPUTED_VALUE"""),8.850086114007E12)</f>
        <v>8850086114007</v>
      </c>
      <c r="G108" s="5" t="str">
        <f>IFERROR(__xludf.DUMMYFUNCTION("""COMPUTED_VALUE"""),"โอวัลตินเครื่องดื่มมอลต์ช็อกโกแลตขวด400g")</f>
        <v>โอวัลตินเครื่องดื่มมอลต์ช็อกโกแลตขวด400g</v>
      </c>
      <c r="H108" s="7"/>
      <c r="I108" s="7"/>
      <c r="J108" s="5"/>
    </row>
    <row r="109">
      <c r="A109" s="5">
        <f>IFERROR(__xludf.DUMMYFUNCTION("""COMPUTED_VALUE"""),1160002.0)</f>
        <v>1160002</v>
      </c>
      <c r="B109" s="6" t="str">
        <f>IFERROR(__xludf.DUMMYFUNCTION("""COMPUTED_VALUE"""),"1160002111010101")</f>
        <v>1160002111010101</v>
      </c>
      <c r="C109" s="5" t="str">
        <f>IFERROR(__xludf.DUMMYFUNCTION("""COMPUTED_VALUE"""),"กาแฟผง สำเร็จรูป \บรรจุขวดแก้ว 200 กรัม สูตร (RED CUP)\ ตราเนสกาแฟ")</f>
        <v>กาแฟผง สำเร็จรูป \บรรจุขวดแก้ว 200 กรัม สูตร (RED CUP)\ ตราเนสกาแฟ</v>
      </c>
      <c r="D109" s="5">
        <f>IFERROR(__xludf.DUMMYFUNCTION("""COMPUTED_VALUE"""),3.0)</f>
        <v>3</v>
      </c>
      <c r="E109" s="5">
        <f>IFERROR(__xludf.DUMMYFUNCTION("""COMPUTED_VALUE"""),1.0)</f>
        <v>1</v>
      </c>
      <c r="F109" s="5">
        <f>IFERROR(__xludf.DUMMYFUNCTION("""COMPUTED_VALUE"""),8.850128030029E12)</f>
        <v>8850128030029</v>
      </c>
      <c r="G109" s="5" t="str">
        <f>IFERROR(__xludf.DUMMYFUNCTION("""COMPUTED_VALUE"""),"เนสกาแฟสำเร็จรูปเรดคัพขวด200g")</f>
        <v>เนสกาแฟสำเร็จรูปเรดคัพขวด200g</v>
      </c>
      <c r="H109" s="7">
        <f>IFERROR(__xludf.DUMMYFUNCTION("""COMPUTED_VALUE"""),185.0)</f>
        <v>185</v>
      </c>
      <c r="I109" s="7"/>
      <c r="J109" s="5"/>
    </row>
    <row r="110">
      <c r="A110" s="5">
        <f>IFERROR(__xludf.DUMMYFUNCTION("""COMPUTED_VALUE"""),1160002.0)</f>
        <v>1160002</v>
      </c>
      <c r="B110" s="6" t="str">
        <f>IFERROR(__xludf.DUMMYFUNCTION("""COMPUTED_VALUE"""),"1160002112130101")</f>
        <v>1160002112130101</v>
      </c>
      <c r="C110" s="5" t="str">
        <f>IFERROR(__xludf.DUMMYFUNCTION("""COMPUTED_VALUE"""),"กาแฟผง สำเร็จรูป\บรรจุถุง 165 กรัม\ตรามอคโคนา ซีเล็ค")</f>
        <v>กาแฟผง สำเร็จรูป\บรรจุถุง 165 กรัม\ตรามอคโคนา ซีเล็ค</v>
      </c>
      <c r="D110" s="5">
        <f>IFERROR(__xludf.DUMMYFUNCTION("""COMPUTED_VALUE"""),3.0)</f>
        <v>3</v>
      </c>
      <c r="E110" s="5">
        <f>IFERROR(__xludf.DUMMYFUNCTION("""COMPUTED_VALUE"""),2.0)</f>
        <v>2</v>
      </c>
      <c r="F110" s="5">
        <f>IFERROR(__xludf.DUMMYFUNCTION("""COMPUTED_VALUE"""),8.851753095063E12)</f>
        <v>8851753095063</v>
      </c>
      <c r="G110" s="5" t="str">
        <f>IFERROR(__xludf.DUMMYFUNCTION("""COMPUTED_VALUE"""),"มอคโคน่าสำเร็จรูปซีเล็คซอง180/165g")</f>
        <v>มอคโคน่าสำเร็จรูปซีเล็คซอง180/165g</v>
      </c>
      <c r="H110" s="7">
        <f>IFERROR(__xludf.DUMMYFUNCTION("""COMPUTED_VALUE"""),194.0)</f>
        <v>194</v>
      </c>
      <c r="I110" s="7"/>
      <c r="J110" s="5"/>
    </row>
    <row r="111">
      <c r="A111" s="5">
        <f>IFERROR(__xludf.DUMMYFUNCTION("""COMPUTED_VALUE"""),1160002.0)</f>
        <v>1160002</v>
      </c>
      <c r="B111" s="6" t="str">
        <f>IFERROR(__xludf.DUMMYFUNCTION("""COMPUTED_VALUE"""),"1160002111020201")</f>
        <v>1160002111020201</v>
      </c>
      <c r="C111" s="5" t="str">
        <f>IFERROR(__xludf.DUMMYFUNCTION("""COMPUTED_VALUE"""),"กาแฟผง สำเร็จรูป บรรจุขวดแก้ว 100 กรัม \ตรา RED CUP")</f>
        <v>กาแฟผง สำเร็จรูป บรรจุขวดแก้ว 100 กรัม \ตรา RED CUP</v>
      </c>
      <c r="D111" s="5">
        <f>IFERROR(__xludf.DUMMYFUNCTION("""COMPUTED_VALUE"""),2.0)</f>
        <v>2</v>
      </c>
      <c r="E111" s="5">
        <f>IFERROR(__xludf.DUMMYFUNCTION("""COMPUTED_VALUE"""),3.0)</f>
        <v>3</v>
      </c>
      <c r="F111" s="5">
        <f>IFERROR(__xludf.DUMMYFUNCTION("""COMPUTED_VALUE"""),8.850124023681E12)</f>
        <v>8850124023681</v>
      </c>
      <c r="G111" s="5" t="str">
        <f>IFERROR(__xludf.DUMMYFUNCTION("""COMPUTED_VALUE"""),"เนสกาแฟสำเร็จรูปเรดคัพขวด100g")</f>
        <v>เนสกาแฟสำเร็จรูปเรดคัพขวด100g</v>
      </c>
      <c r="H111" s="7">
        <f>IFERROR(__xludf.DUMMYFUNCTION("""COMPUTED_VALUE"""),133.0)</f>
        <v>133</v>
      </c>
      <c r="I111" s="7"/>
      <c r="J111" s="5"/>
    </row>
    <row r="112">
      <c r="A112" s="5">
        <f>IFERROR(__xludf.DUMMYFUNCTION("""COMPUTED_VALUE"""),1160002.0)</f>
        <v>1160002</v>
      </c>
      <c r="B112" s="6" t="str">
        <f>IFERROR(__xludf.DUMMYFUNCTION("""COMPUTED_VALUE"""),"1160002112090101")</f>
        <v>1160002112090101</v>
      </c>
      <c r="C112" s="5" t="str">
        <f>IFERROR(__xludf.DUMMYFUNCTION("""COMPUTED_VALUE"""),"กาแฟผง สำเร็จรูป\บรรจุถุง 120 กรัม\ตรามอคโคนาเอสเปรสโซ")</f>
        <v>กาแฟผง สำเร็จรูป\บรรจุถุง 120 กรัม\ตรามอคโคนาเอสเปรสโซ</v>
      </c>
      <c r="D112" s="5">
        <f>IFERROR(__xludf.DUMMYFUNCTION("""COMPUTED_VALUE"""),1.0)</f>
        <v>1</v>
      </c>
      <c r="E112" s="5">
        <f>IFERROR(__xludf.DUMMYFUNCTION("""COMPUTED_VALUE"""),4.0)</f>
        <v>4</v>
      </c>
      <c r="F112" s="5">
        <f>IFERROR(__xludf.DUMMYFUNCTION("""COMPUTED_VALUE"""),8.851753095827E12)</f>
        <v>8851753095827</v>
      </c>
      <c r="G112" s="5" t="str">
        <f>IFERROR(__xludf.DUMMYFUNCTION("""COMPUTED_VALUE"""),"มอคโคน่าสำเร็จรูปเอสเพรสโซซอง120g")</f>
        <v>มอคโคน่าสำเร็จรูปเอสเพรสโซซอง120g</v>
      </c>
      <c r="H112" s="7">
        <f>IFERROR(__xludf.DUMMYFUNCTION("""COMPUTED_VALUE"""),167.0)</f>
        <v>167</v>
      </c>
      <c r="I112" s="7"/>
      <c r="J112" s="5"/>
    </row>
    <row r="113">
      <c r="A113" s="5">
        <f>IFERROR(__xludf.DUMMYFUNCTION("""COMPUTED_VALUE"""),1160002.0)</f>
        <v>1160002</v>
      </c>
      <c r="B113" s="6" t="str">
        <f>IFERROR(__xludf.DUMMYFUNCTION("""COMPUTED_VALUE"""),"1160002112190101")</f>
        <v>1160002112190101</v>
      </c>
      <c r="C113" s="5" t="str">
        <f>IFERROR(__xludf.DUMMYFUNCTION("""COMPUTED_VALUE"""),"กาแฟผง สำเร็จรูป\บรรจุถุง 165 กรัม\ตราเนสกาแฟ (RED CUP)")</f>
        <v>กาแฟผง สำเร็จรูป\บรรจุถุง 165 กรัม\ตราเนสกาแฟ (RED CUP)</v>
      </c>
      <c r="D113" s="5">
        <f>IFERROR(__xludf.DUMMYFUNCTION("""COMPUTED_VALUE"""),1.0)</f>
        <v>1</v>
      </c>
      <c r="E113" s="5">
        <f>IFERROR(__xludf.DUMMYFUNCTION("""COMPUTED_VALUE"""),5.0)</f>
        <v>5</v>
      </c>
      <c r="F113" s="5">
        <f>IFERROR(__xludf.DUMMYFUNCTION("""COMPUTED_VALUE"""),8.850128030067E12)</f>
        <v>8850128030067</v>
      </c>
      <c r="G113" s="5" t="str">
        <f>IFERROR(__xludf.DUMMYFUNCTION("""COMPUTED_VALUE"""),"เนสกาแฟสำเร็จรูปเรดคัพซอง165g")</f>
        <v>เนสกาแฟสำเร็จรูปเรดคัพซอง165g</v>
      </c>
      <c r="H113" s="7">
        <f>IFERROR(__xludf.DUMMYFUNCTION("""COMPUTED_VALUE"""),165.0)</f>
        <v>165</v>
      </c>
      <c r="I113" s="7"/>
      <c r="J113" s="5" t="str">
        <f>IFERROR(__xludf.DUMMYFUNCTION("""COMPUTED_VALUE"""),"PROMOTION 7DAY รอบ 1-7 ต.ค. 69")</f>
        <v>PROMOTION 7DAY รอบ 1-7 ต.ค. 69</v>
      </c>
    </row>
    <row r="114">
      <c r="A114" s="5">
        <f>IFERROR(__xludf.DUMMYFUNCTION("""COMPUTED_VALUE"""),1160002.0)</f>
        <v>1160002</v>
      </c>
      <c r="B114" s="6" t="str">
        <f>IFERROR(__xludf.DUMMYFUNCTION("""COMPUTED_VALUE"""),"1160002112100202")</f>
        <v>1160002112100202</v>
      </c>
      <c r="C114" s="5" t="str">
        <f>IFERROR(__xludf.DUMMYFUNCTION("""COMPUTED_VALUE"""),"กาแฟผง สำเร็จรูป\บรรจุถุง 80 กรัม\ตราเนสกาแฟ (RED CUP)")</f>
        <v>กาแฟผง สำเร็จรูป\บรรจุถุง 80 กรัม\ตราเนสกาแฟ (RED CUP)</v>
      </c>
      <c r="D114" s="5">
        <f>IFERROR(__xludf.DUMMYFUNCTION("""COMPUTED_VALUE"""),1.0)</f>
        <v>1</v>
      </c>
      <c r="E114" s="5">
        <f>IFERROR(__xludf.DUMMYFUNCTION("""COMPUTED_VALUE"""),6.0)</f>
        <v>6</v>
      </c>
      <c r="F114" s="5"/>
      <c r="G114" s="5" t="str">
        <f>IFERROR(__xludf.DUMMYFUNCTION("""COMPUTED_VALUE"""),"เนสกาแฟสำเร็จรูปเรดคัพซอง80g")</f>
        <v>เนสกาแฟสำเร็จรูปเรดคัพซอง80g</v>
      </c>
      <c r="H114" s="7">
        <f>IFERROR(__xludf.DUMMYFUNCTION("""COMPUTED_VALUE"""),85.0)</f>
        <v>85</v>
      </c>
      <c r="I114" s="7"/>
      <c r="J114" s="5"/>
    </row>
    <row r="115">
      <c r="A115" s="5">
        <f>IFERROR(__xludf.DUMMYFUNCTION("""COMPUTED_VALUE"""),1160002.0)</f>
        <v>1160002</v>
      </c>
      <c r="B115" s="6" t="str">
        <f>IFERROR(__xludf.DUMMYFUNCTION("""COMPUTED_VALUE"""),"1160002112140101")</f>
        <v>1160002112140101</v>
      </c>
      <c r="C115" s="5" t="str">
        <f>IFERROR(__xludf.DUMMYFUNCTION("""COMPUTED_VALUE"""),"กาแฟผง สำเร็จรูป\บรรจุถุง 70 กรัม\ตรามอคโคนา ซีเล็ค")</f>
        <v>กาแฟผง สำเร็จรูป\บรรจุถุง 70 กรัม\ตรามอคโคนา ซีเล็ค</v>
      </c>
      <c r="D115" s="5">
        <f>IFERROR(__xludf.DUMMYFUNCTION("""COMPUTED_VALUE"""),1.0)</f>
        <v>1</v>
      </c>
      <c r="E115" s="5">
        <f>IFERROR(__xludf.DUMMYFUNCTION("""COMPUTED_VALUE"""),7.0)</f>
        <v>7</v>
      </c>
      <c r="F115" s="5">
        <f>IFERROR(__xludf.DUMMYFUNCTION("""COMPUTED_VALUE"""),8.851753095124E12)</f>
        <v>8851753095124</v>
      </c>
      <c r="G115" s="5" t="str">
        <f>IFERROR(__xludf.DUMMYFUNCTION("""COMPUTED_VALUE"""),"มอคโคน่าสำเร็จรูปซีเล็คซอง80/70g")</f>
        <v>มอคโคน่าสำเร็จรูปซีเล็คซอง80/70g</v>
      </c>
      <c r="H115" s="7">
        <f>IFERROR(__xludf.DUMMYFUNCTION("""COMPUTED_VALUE"""),86.0)</f>
        <v>86</v>
      </c>
      <c r="I115" s="7"/>
      <c r="J115" s="5"/>
    </row>
    <row r="116">
      <c r="A116" s="5">
        <f>IFERROR(__xludf.DUMMYFUNCTION("""COMPUTED_VALUE"""),1160004.0)</f>
        <v>1160004</v>
      </c>
      <c r="B116" s="6" t="str">
        <f>IFERROR(__xludf.DUMMYFUNCTION("""COMPUTED_VALUE"""),"1160004111020101")</f>
        <v>1160004111020101</v>
      </c>
      <c r="C116" s="5" t="str">
        <f>IFERROR(__xludf.DUMMYFUNCTION("""COMPUTED_VALUE"""),"โซดา \บรรจุขวดแก้ว 325 ซี.ซี\. ตราสิงห์")</f>
        <v>โซดา \บรรจุขวดแก้ว 325 ซี.ซี\. ตราสิงห์</v>
      </c>
      <c r="D116" s="5">
        <f>IFERROR(__xludf.DUMMYFUNCTION("""COMPUTED_VALUE"""),4.0)</f>
        <v>4</v>
      </c>
      <c r="E116" s="5">
        <f>IFERROR(__xludf.DUMMYFUNCTION("""COMPUTED_VALUE"""),1.0)</f>
        <v>1</v>
      </c>
      <c r="F116" s="5"/>
      <c r="G116" s="5" t="str">
        <f>IFERROR(__xludf.DUMMYFUNCTION("""COMPUTED_VALUE"""),"สิงห์โซดาวันเวย์325ml")</f>
        <v>สิงห์โซดาวันเวย์325ml</v>
      </c>
      <c r="H116" s="7">
        <f>IFERROR(__xludf.DUMMYFUNCTION("""COMPUTED_VALUE"""),9.0)</f>
        <v>9</v>
      </c>
      <c r="I116" s="7"/>
      <c r="J116" s="5"/>
    </row>
    <row r="117">
      <c r="A117" s="5">
        <f>IFERROR(__xludf.DUMMYFUNCTION("""COMPUTED_VALUE"""),1160004.0)</f>
        <v>1160004</v>
      </c>
      <c r="B117" s="6" t="str">
        <f>IFERROR(__xludf.DUMMYFUNCTION("""COMPUTED_VALUE"""),"1160004111020501")</f>
        <v>1160004111020501</v>
      </c>
      <c r="C117" s="5" t="str">
        <f>IFERROR(__xludf.DUMMYFUNCTION("""COMPUTED_VALUE"""),"โซดา \ บรรจุขวดแก้ว 325 ซี.ซี\. ตราRock Mountain")</f>
        <v>โซดา \ บรรจุขวดแก้ว 325 ซี.ซี\. ตราRock Mountain</v>
      </c>
      <c r="D117" s="5">
        <f>IFERROR(__xludf.DUMMYFUNCTION("""COMPUTED_VALUE"""),2.0)</f>
        <v>2</v>
      </c>
      <c r="E117" s="5">
        <f>IFERROR(__xludf.DUMMYFUNCTION("""COMPUTED_VALUE"""),2.0)</f>
        <v>2</v>
      </c>
      <c r="F117" s="5"/>
      <c r="G117" s="5" t="str">
        <f>IFERROR(__xludf.DUMMYFUNCTION("""COMPUTED_VALUE"""),"CP2_ร็อคเมาเท็นโซดา325ml")</f>
        <v>CP2_ร็อคเมาเท็นโซดา325ml</v>
      </c>
      <c r="H117" s="7">
        <f>IFERROR(__xludf.DUMMYFUNCTION("""COMPUTED_VALUE"""),9.0)</f>
        <v>9</v>
      </c>
      <c r="I117" s="7"/>
      <c r="J117" s="5"/>
    </row>
    <row r="118">
      <c r="A118" s="5">
        <f>IFERROR(__xludf.DUMMYFUNCTION("""COMPUTED_VALUE"""),1160005.0)</f>
        <v>1160005</v>
      </c>
      <c r="B118" s="6" t="str">
        <f>IFERROR(__xludf.DUMMYFUNCTION("""COMPUTED_VALUE"""),"1160005112050101")</f>
        <v>1160005112050101</v>
      </c>
      <c r="C118" s="5" t="str">
        <f>IFERROR(__xludf.DUMMYFUNCTION("""COMPUTED_VALUE"""),"น้ำอัดลม \บรรจุขวดพลาสติก 1.45 ลิตร \ ตราเป๊ปซี่")</f>
        <v>น้ำอัดลม \บรรจุขวดพลาสติก 1.45 ลิตร \ ตราเป๊ปซี่</v>
      </c>
      <c r="D118" s="5">
        <f>IFERROR(__xludf.DUMMYFUNCTION("""COMPUTED_VALUE"""),4.0)</f>
        <v>4</v>
      </c>
      <c r="E118" s="5">
        <f>IFERROR(__xludf.DUMMYFUNCTION("""COMPUTED_VALUE"""),1.0)</f>
        <v>1</v>
      </c>
      <c r="F118" s="5">
        <f>IFERROR(__xludf.DUMMYFUNCTION("""COMPUTED_VALUE"""),8.858998581061E12)</f>
        <v>8858998581061</v>
      </c>
      <c r="G118" s="5" t="str">
        <f>IFERROR(__xludf.DUMMYFUNCTION("""COMPUTED_VALUE"""),"เป๊ปซี่1.45L")</f>
        <v>เป๊ปซี่1.45L</v>
      </c>
      <c r="H118" s="7">
        <f>IFERROR(__xludf.DUMMYFUNCTION("""COMPUTED_VALUE"""),34.0)</f>
        <v>34</v>
      </c>
      <c r="I118" s="7"/>
      <c r="J118" s="5"/>
    </row>
    <row r="119">
      <c r="A119" s="5">
        <f>IFERROR(__xludf.DUMMYFUNCTION("""COMPUTED_VALUE"""),1160005.0)</f>
        <v>1160005</v>
      </c>
      <c r="B119" s="6" t="str">
        <f>IFERROR(__xludf.DUMMYFUNCTION("""COMPUTED_VALUE"""),"1160005112020101")</f>
        <v>1160005112020101</v>
      </c>
      <c r="C119" s="5" t="str">
        <f>IFERROR(__xludf.DUMMYFUNCTION("""COMPUTED_VALUE"""),"น้ำอัดลม \บรรจุขวดพลาสติก 1.5 ลิตร \ ตราโค๊ก")</f>
        <v>น้ำอัดลม \บรรจุขวดพลาสติก 1.5 ลิตร \ ตราโค๊ก</v>
      </c>
      <c r="D119" s="5">
        <f>IFERROR(__xludf.DUMMYFUNCTION("""COMPUTED_VALUE"""),2.0)</f>
        <v>2</v>
      </c>
      <c r="E119" s="5">
        <f>IFERROR(__xludf.DUMMYFUNCTION("""COMPUTED_VALUE"""),2.0)</f>
        <v>2</v>
      </c>
      <c r="F119" s="5">
        <f>IFERROR(__xludf.DUMMYFUNCTION("""COMPUTED_VALUE"""),8.851959143018E12)</f>
        <v>8851959143018</v>
      </c>
      <c r="G119" s="5" t="str">
        <f>IFERROR(__xludf.DUMMYFUNCTION("""COMPUTED_VALUE"""),"โค้ก1.5L")</f>
        <v>โค้ก1.5L</v>
      </c>
      <c r="H119" s="7">
        <f>IFERROR(__xludf.DUMMYFUNCTION("""COMPUTED_VALUE"""),34.0)</f>
        <v>34</v>
      </c>
      <c r="I119" s="7">
        <f>IFERROR(__xludf.DUMMYFUNCTION("""COMPUTED_VALUE"""),32.0)</f>
        <v>32</v>
      </c>
      <c r="J119" s="5" t="str">
        <f>IFERROR(__xludf.DUMMYFUNCTION("""COMPUTED_VALUE"""),"PROMOTION MAIL (รอบ 25 ก.ย. - 24 ต.ค. 69)")</f>
        <v>PROMOTION MAIL (รอบ 25 ก.ย. - 24 ต.ค. 69)</v>
      </c>
    </row>
    <row r="120">
      <c r="A120" s="5">
        <f>IFERROR(__xludf.DUMMYFUNCTION("""COMPUTED_VALUE"""),1160005.0)</f>
        <v>1160005</v>
      </c>
      <c r="B120" s="6" t="str">
        <f>IFERROR(__xludf.DUMMYFUNCTION("""COMPUTED_VALUE"""),"1160005112040301")</f>
        <v>1160005112040301</v>
      </c>
      <c r="C120" s="5" t="str">
        <f>IFERROR(__xludf.DUMMYFUNCTION("""COMPUTED_VALUE"""),"น้ำอัดลม \บรรจุขวดพลาสติก 1 ลิตร \ ตราโค้ก")</f>
        <v>น้ำอัดลม \บรรจุขวดพลาสติก 1 ลิตร \ ตราโค้ก</v>
      </c>
      <c r="D120" s="5">
        <f>IFERROR(__xludf.DUMMYFUNCTION("""COMPUTED_VALUE"""),2.0)</f>
        <v>2</v>
      </c>
      <c r="E120" s="5">
        <f>IFERROR(__xludf.DUMMYFUNCTION("""COMPUTED_VALUE"""),3.0)</f>
        <v>3</v>
      </c>
      <c r="F120" s="5">
        <f>IFERROR(__xludf.DUMMYFUNCTION("""COMPUTED_VALUE"""),8.85195914901E12)</f>
        <v>8851959149010</v>
      </c>
      <c r="G120" s="5" t="str">
        <f>IFERROR(__xludf.DUMMYFUNCTION("""COMPUTED_VALUE"""),"โค้ก1L")</f>
        <v>โค้ก1L</v>
      </c>
      <c r="H120" s="7">
        <f>IFERROR(__xludf.DUMMYFUNCTION("""COMPUTED_VALUE"""),26.0)</f>
        <v>26</v>
      </c>
      <c r="I120" s="7">
        <f>IFERROR(__xludf.DUMMYFUNCTION("""COMPUTED_VALUE"""),25.0)</f>
        <v>25</v>
      </c>
      <c r="J120" s="5" t="str">
        <f>IFERROR(__xludf.DUMMYFUNCTION("""COMPUTED_VALUE"""),"PROMOTION MAIL (รอบ 25 ก.ย. - 24 ต.ค. 69)")</f>
        <v>PROMOTION MAIL (รอบ 25 ก.ย. - 24 ต.ค. 69)</v>
      </c>
    </row>
    <row r="121">
      <c r="A121" s="5">
        <f>IFERROR(__xludf.DUMMYFUNCTION("""COMPUTED_VALUE"""),1160005.0)</f>
        <v>1160005</v>
      </c>
      <c r="B121" s="6" t="str">
        <f>IFERROR(__xludf.DUMMYFUNCTION("""COMPUTED_VALUE"""),"1160005112040101")</f>
        <v>1160005112040101</v>
      </c>
      <c r="C121" s="5" t="str">
        <f>IFERROR(__xludf.DUMMYFUNCTION("""COMPUTED_VALUE"""),"น้ำอัดลม \บรรจุขวดพลาสติก 1 ลิตร \ ตราแป๊ปซี่")</f>
        <v>น้ำอัดลม \บรรจุขวดพลาสติก 1 ลิตร \ ตราแป๊ปซี่</v>
      </c>
      <c r="D121" s="5">
        <f>IFERROR(__xludf.DUMMYFUNCTION("""COMPUTED_VALUE"""),1.0)</f>
        <v>1</v>
      </c>
      <c r="E121" s="5">
        <f>IFERROR(__xludf.DUMMYFUNCTION("""COMPUTED_VALUE"""),4.0)</f>
        <v>4</v>
      </c>
      <c r="F121" s="5">
        <f>IFERROR(__xludf.DUMMYFUNCTION("""COMPUTED_VALUE"""),8.858998581054E12)</f>
        <v>8858998581054</v>
      </c>
      <c r="G121" s="5" t="str">
        <f>IFERROR(__xludf.DUMMYFUNCTION("""COMPUTED_VALUE"""),"เป๊ปซี่1L")</f>
        <v>เป๊ปซี่1L</v>
      </c>
      <c r="H121" s="7">
        <f>IFERROR(__xludf.DUMMYFUNCTION("""COMPUTED_VALUE"""),26.0)</f>
        <v>26</v>
      </c>
      <c r="I121" s="7">
        <f>IFERROR(__xludf.DUMMYFUNCTION("""COMPUTED_VALUE"""),25.0)</f>
        <v>25</v>
      </c>
      <c r="J121" s="5" t="str">
        <f>IFERROR(__xludf.DUMMYFUNCTION("""COMPUTED_VALUE"""),"PROMOTION MAIL (รอบ 25 ก.ย. - 24 ต.ค. 69)")</f>
        <v>PROMOTION MAIL (รอบ 25 ก.ย. - 24 ต.ค. 69)</v>
      </c>
    </row>
    <row r="122">
      <c r="A122" s="5">
        <f>IFERROR(__xludf.DUMMYFUNCTION("""COMPUTED_VALUE"""),1160005.0)</f>
        <v>1160005</v>
      </c>
      <c r="B122" s="6" t="str">
        <f>IFERROR(__xludf.DUMMYFUNCTION("""COMPUTED_VALUE"""),"1160005113010201")</f>
        <v>1160005113010201</v>
      </c>
      <c r="C122" s="5" t="str">
        <f>IFERROR(__xludf.DUMMYFUNCTION("""COMPUTED_VALUE"""),"น้ำอัดลม \บรรจุกระป๋อง 325 ซีซี\ ตราโค้ก")</f>
        <v>น้ำอัดลม \บรรจุกระป๋อง 325 ซีซี\ ตราโค้ก</v>
      </c>
      <c r="D122" s="5">
        <f>IFERROR(__xludf.DUMMYFUNCTION("""COMPUTED_VALUE"""),1.0)</f>
        <v>1</v>
      </c>
      <c r="E122" s="5">
        <f>IFERROR(__xludf.DUMMYFUNCTION("""COMPUTED_VALUE"""),5.0)</f>
        <v>5</v>
      </c>
      <c r="F122" s="5">
        <f>IFERROR(__xludf.DUMMYFUNCTION("""COMPUTED_VALUE"""),8.851959132012E12)</f>
        <v>8851959132012</v>
      </c>
      <c r="G122" s="5" t="str">
        <f>IFERROR(__xludf.DUMMYFUNCTION("""COMPUTED_VALUE"""),"โค้กแคน325ml")</f>
        <v>โค้กแคน325ml</v>
      </c>
      <c r="H122" s="7">
        <f>IFERROR(__xludf.DUMMYFUNCTION("""COMPUTED_VALUE"""),16.0)</f>
        <v>16</v>
      </c>
      <c r="I122" s="7">
        <f>IFERROR(__xludf.DUMMYFUNCTION("""COMPUTED_VALUE"""),14.0)</f>
        <v>14</v>
      </c>
      <c r="J122" s="5" t="str">
        <f>IFERROR(__xludf.DUMMYFUNCTION("""COMPUTED_VALUE"""),"PROMOTION MAIL (รอบ 25 ก.ย. - 24 ต.ค. 69)")</f>
        <v>PROMOTION MAIL (รอบ 25 ก.ย. - 24 ต.ค. 69)</v>
      </c>
    </row>
    <row r="123">
      <c r="A123" s="5">
        <f>IFERROR(__xludf.DUMMYFUNCTION("""COMPUTED_VALUE"""),1160005.0)</f>
        <v>1160005</v>
      </c>
      <c r="B123" s="6" t="str">
        <f>IFERROR(__xludf.DUMMYFUNCTION("""COMPUTED_VALUE"""),"1160005112140201")</f>
        <v>1160005112140201</v>
      </c>
      <c r="C123" s="5" t="str">
        <f>IFERROR(__xludf.DUMMYFUNCTION("""COMPUTED_VALUE"""),"น้ำอัดลม \บรรจุขวดพลาสติก 330 ซีซี\ ตราเป๊ปซี่")</f>
        <v>น้ำอัดลม \บรรจุขวดพลาสติก 330 ซีซี\ ตราเป๊ปซี่</v>
      </c>
      <c r="D123" s="5">
        <f>IFERROR(__xludf.DUMMYFUNCTION("""COMPUTED_VALUE"""),1.0)</f>
        <v>1</v>
      </c>
      <c r="E123" s="5">
        <f>IFERROR(__xludf.DUMMYFUNCTION("""COMPUTED_VALUE"""),6.0)</f>
        <v>6</v>
      </c>
      <c r="F123" s="5"/>
      <c r="G123" s="5" t="str">
        <f>IFERROR(__xludf.DUMMYFUNCTION("""COMPUTED_VALUE"""),"เป๊ปซี่-โคล่าขวด330ml")</f>
        <v>เป๊ปซี่-โคล่าขวด330ml</v>
      </c>
      <c r="H123" s="7">
        <f>IFERROR(__xludf.DUMMYFUNCTION("""COMPUTED_VALUE"""),14.0)</f>
        <v>14</v>
      </c>
      <c r="I123" s="7"/>
      <c r="J123" s="5"/>
    </row>
    <row r="124">
      <c r="A124" s="5">
        <f>IFERROR(__xludf.DUMMYFUNCTION("""COMPUTED_VALUE"""),1160006.0)</f>
        <v>1160006</v>
      </c>
      <c r="B124" s="6" t="str">
        <f>IFERROR(__xludf.DUMMYFUNCTION("""COMPUTED_VALUE"""),"1160006221010201")</f>
        <v>1160006221010201</v>
      </c>
      <c r="C124" s="5" t="str">
        <f>IFERROR(__xludf.DUMMYFUNCTION("""COMPUTED_VALUE"""),"น้ำส้ม (เขียวหวาน) บรรจุกล่อง\ขนาด 200 มล. (แพ็ค 3 )\ตราทิปโก้")</f>
        <v>น้ำส้ม (เขียวหวาน) บรรจุกล่อง\ขนาด 200 มล. (แพ็ค 3 )\ตราทิปโก้</v>
      </c>
      <c r="D124" s="5">
        <f>IFERROR(__xludf.DUMMYFUNCTION("""COMPUTED_VALUE"""),2.0)</f>
        <v>2</v>
      </c>
      <c r="E124" s="5">
        <f>IFERROR(__xludf.DUMMYFUNCTION("""COMPUTED_VALUE"""),1.0)</f>
        <v>1</v>
      </c>
      <c r="F124" s="5">
        <f>IFERROR(__xludf.DUMMYFUNCTION("""COMPUTED_VALUE"""),8.851013778934E12)</f>
        <v>8851013778934</v>
      </c>
      <c r="G124" s="5" t="str">
        <f>IFERROR(__xludf.DUMMYFUNCTION("""COMPUTED_VALUE"""),"ทิปโก้น้ำส้มเขียวหวาน100%200ml")</f>
        <v>ทิปโก้น้ำส้มเขียวหวาน100%200ml</v>
      </c>
      <c r="H124" s="7"/>
      <c r="I124" s="7"/>
      <c r="J124" s="5"/>
    </row>
    <row r="125">
      <c r="A125" s="5">
        <f>IFERROR(__xludf.DUMMYFUNCTION("""COMPUTED_VALUE"""),1160006.0)</f>
        <v>1160006</v>
      </c>
      <c r="B125" s="6" t="str">
        <f>IFERROR(__xludf.DUMMYFUNCTION("""COMPUTED_VALUE"""),"1160006212030101")</f>
        <v>1160006212030101</v>
      </c>
      <c r="C125" s="5" t="str">
        <f>IFERROR(__xludf.DUMMYFUNCTION("""COMPUTED_VALUE"""),"น้ำส้ม บรรจุกล่อง\น้ำหนักสุทธิ 1,000 กรัม \ตรามาลี")</f>
        <v>น้ำส้ม บรรจุกล่อง\น้ำหนักสุทธิ 1,000 กรัม \ตรามาลี</v>
      </c>
      <c r="D125" s="5">
        <f>IFERROR(__xludf.DUMMYFUNCTION("""COMPUTED_VALUE"""),1.0)</f>
        <v>1</v>
      </c>
      <c r="E125" s="5">
        <f>IFERROR(__xludf.DUMMYFUNCTION("""COMPUTED_VALUE"""),3.0)</f>
        <v>3</v>
      </c>
      <c r="F125" s="5">
        <f>IFERROR(__xludf.DUMMYFUNCTION("""COMPUTED_VALUE"""),8.853333001815E12)</f>
        <v>8853333001815</v>
      </c>
      <c r="G125" s="5" t="str">
        <f>IFERROR(__xludf.DUMMYFUNCTION("""COMPUTED_VALUE"""),"มาลีน้ำส้มเขียวหวาน100%1000ml")</f>
        <v>มาลีน้ำส้มเขียวหวาน100%1000ml</v>
      </c>
      <c r="H125" s="7">
        <f>IFERROR(__xludf.DUMMYFUNCTION("""COMPUTED_VALUE"""),89.0)</f>
        <v>89</v>
      </c>
      <c r="I125" s="7"/>
      <c r="J125" s="5"/>
    </row>
    <row r="126">
      <c r="A126" s="5">
        <f>IFERROR(__xludf.DUMMYFUNCTION("""COMPUTED_VALUE"""),1160006.0)</f>
        <v>1160006</v>
      </c>
      <c r="B126" s="6" t="str">
        <f>IFERROR(__xludf.DUMMYFUNCTION("""COMPUTED_VALUE"""),"1160006231010201")</f>
        <v>1160006231010201</v>
      </c>
      <c r="C126" s="5" t="str">
        <f>IFERROR(__xludf.DUMMYFUNCTION("""COMPUTED_VALUE"""),"น้ำส้ม (สายน้ำผึ้ง) บรรจุกล่อง\ขนาด 200 มล. (แพ็ค 3 )\ตรามาลี")</f>
        <v>น้ำส้ม (สายน้ำผึ้ง) บรรจุกล่อง\ขนาด 200 มล. (แพ็ค 3 )\ตรามาลี</v>
      </c>
      <c r="D126" s="5">
        <f>IFERROR(__xludf.DUMMYFUNCTION("""COMPUTED_VALUE"""),1.0)</f>
        <v>1</v>
      </c>
      <c r="E126" s="5">
        <f>IFERROR(__xludf.DUMMYFUNCTION("""COMPUTED_VALUE"""),5.0)</f>
        <v>5</v>
      </c>
      <c r="F126" s="5">
        <f>IFERROR(__xludf.DUMMYFUNCTION("""COMPUTED_VALUE"""),8.853333013702E12)</f>
        <v>8853333013702</v>
      </c>
      <c r="G126" s="5" t="str">
        <f>IFERROR(__xludf.DUMMYFUNCTION("""COMPUTED_VALUE"""),"มาลีน้ำส้มสายน้ำผึ้ง100%200ml")</f>
        <v>มาลีน้ำส้มสายน้ำผึ้ง100%200ml</v>
      </c>
      <c r="H126" s="7"/>
      <c r="I126" s="7"/>
      <c r="J126" s="5"/>
    </row>
    <row r="127">
      <c r="A127" s="5">
        <f>IFERROR(__xludf.DUMMYFUNCTION("""COMPUTED_VALUE"""),1160006.0)</f>
        <v>1160006</v>
      </c>
      <c r="B127" s="6" t="str">
        <f>IFERROR(__xludf.DUMMYFUNCTION("""COMPUTED_VALUE"""),"1160006112070101")</f>
        <v>1160006112070101</v>
      </c>
      <c r="C127" s="5" t="str">
        <f>IFERROR(__xludf.DUMMYFUNCTION("""COMPUTED_VALUE"""),"น้ำทับทิมผสมน้ำผลไม้ 100 % \ ขนาด 200 มล. \ตรา ทิปโก้")</f>
        <v>น้ำทับทิมผสมน้ำผลไม้ 100 % \ ขนาด 200 มล. \ตรา ทิปโก้</v>
      </c>
      <c r="D127" s="5">
        <f>IFERROR(__xludf.DUMMYFUNCTION("""COMPUTED_VALUE"""),1.0)</f>
        <v>1</v>
      </c>
      <c r="E127" s="5">
        <f>IFERROR(__xludf.DUMMYFUNCTION("""COMPUTED_VALUE"""),6.0)</f>
        <v>6</v>
      </c>
      <c r="F127" s="5"/>
      <c r="G127" s="5" t="str">
        <f>IFERROR(__xludf.DUMMYFUNCTION("""COMPUTED_VALUE"""),"ทิปโก้น้ำทับทิมผสมผลไม้100%200ml")</f>
        <v>ทิปโก้น้ำทับทิมผสมผลไม้100%200ml</v>
      </c>
      <c r="H127" s="7">
        <f>IFERROR(__xludf.DUMMYFUNCTION("""COMPUTED_VALUE"""),22.0)</f>
        <v>22</v>
      </c>
      <c r="I127" s="7"/>
      <c r="J127" s="5"/>
    </row>
    <row r="128">
      <c r="A128" s="5">
        <f>IFERROR(__xludf.DUMMYFUNCTION("""COMPUTED_VALUE"""),1160007.0)</f>
        <v>1160007</v>
      </c>
      <c r="B128" s="6" t="str">
        <f>IFERROR(__xludf.DUMMYFUNCTION("""COMPUTED_VALUE"""),"1160007111010101")</f>
        <v>1160007111010101</v>
      </c>
      <c r="C128" s="5" t="str">
        <f>IFERROR(__xludf.DUMMYFUNCTION("""COMPUTED_VALUE"""),"น้ำหวาน รสเข้มข้นกลิ่นสละ\ บรรจุขวด 710 ซีซี \ ตราเฮลซ์บลูบอย")</f>
        <v>น้ำหวาน รสเข้มข้นกลิ่นสละ\ บรรจุขวด 710 ซีซี \ ตราเฮลซ์บลูบอย</v>
      </c>
      <c r="D128" s="5">
        <f>IFERROR(__xludf.DUMMYFUNCTION("""COMPUTED_VALUE"""),4.0)</f>
        <v>4</v>
      </c>
      <c r="E128" s="5">
        <f>IFERROR(__xludf.DUMMYFUNCTION("""COMPUTED_VALUE"""),1.0)</f>
        <v>1</v>
      </c>
      <c r="F128" s="5">
        <f>IFERROR(__xludf.DUMMYFUNCTION("""COMPUTED_VALUE"""),8.850423000093E12)</f>
        <v>8850423000093</v>
      </c>
      <c r="G128" s="5" t="str">
        <f>IFERROR(__xludf.DUMMYFUNCTION("""COMPUTED_VALUE"""),"เฮลซ์บลูบอยกลิ่นสละ710ml")</f>
        <v>เฮลซ์บลูบอยกลิ่นสละ710ml</v>
      </c>
      <c r="H128" s="7">
        <f>IFERROR(__xludf.DUMMYFUNCTION("""COMPUTED_VALUE"""),69.0)</f>
        <v>69</v>
      </c>
      <c r="I128" s="7">
        <f>IFERROR(__xludf.DUMMYFUNCTION("""COMPUTED_VALUE"""),64.0)</f>
        <v>64</v>
      </c>
      <c r="J128" s="5"/>
    </row>
    <row r="129">
      <c r="A129" s="5">
        <f>IFERROR(__xludf.DUMMYFUNCTION("""COMPUTED_VALUE"""),1160007.0)</f>
        <v>1160007</v>
      </c>
      <c r="B129" s="6" t="str">
        <f>IFERROR(__xludf.DUMMYFUNCTION("""COMPUTED_VALUE"""),"1160007211010101")</f>
        <v>1160007211010101</v>
      </c>
      <c r="C129" s="5" t="str">
        <f>IFERROR(__xludf.DUMMYFUNCTION("""COMPUTED_VALUE"""),"น้ำหวาน รสเข้มข้นกลิ่นครีมโซดา\ บรรจุขวด 710 ซีซี\ ตราเฮลซ์บลูบอย")</f>
        <v>น้ำหวาน รสเข้มข้นกลิ่นครีมโซดา\ บรรจุขวด 710 ซีซี\ ตราเฮลซ์บลูบอย</v>
      </c>
      <c r="D129" s="5">
        <f>IFERROR(__xludf.DUMMYFUNCTION("""COMPUTED_VALUE"""),1.0)</f>
        <v>1</v>
      </c>
      <c r="E129" s="5">
        <f>IFERROR(__xludf.DUMMYFUNCTION("""COMPUTED_VALUE"""),2.0)</f>
        <v>2</v>
      </c>
      <c r="F129" s="5">
        <f>IFERROR(__xludf.DUMMYFUNCTION("""COMPUTED_VALUE"""),8.850423000086E12)</f>
        <v>8850423000086</v>
      </c>
      <c r="G129" s="5" t="str">
        <f>IFERROR(__xludf.DUMMYFUNCTION("""COMPUTED_VALUE"""),"เฮลซ์บลูบอยกลิ่นครีมโซดา710ml")</f>
        <v>เฮลซ์บลูบอยกลิ่นครีมโซดา710ml</v>
      </c>
      <c r="H129" s="7">
        <f>IFERROR(__xludf.DUMMYFUNCTION("""COMPUTED_VALUE"""),69.0)</f>
        <v>69</v>
      </c>
      <c r="I129" s="7">
        <f>IFERROR(__xludf.DUMMYFUNCTION("""COMPUTED_VALUE"""),64.0)</f>
        <v>64</v>
      </c>
      <c r="J129" s="5"/>
    </row>
    <row r="130">
      <c r="A130" s="5">
        <f>IFERROR(__xludf.DUMMYFUNCTION("""COMPUTED_VALUE"""),1160007.0)</f>
        <v>1160007</v>
      </c>
      <c r="B130" s="6" t="str">
        <f>IFERROR(__xludf.DUMMYFUNCTION("""COMPUTED_VALUE"""),"1160007311030101")</f>
        <v>1160007311030101</v>
      </c>
      <c r="C130" s="5" t="str">
        <f>IFERROR(__xludf.DUMMYFUNCTION("""COMPUTED_VALUE"""),"น้ำหวาน รสเข้มข้นกลิ่นสตอเบอรี่ \ บรรจุขวด 760 ซีซี \ ตราติ่งฟง")</f>
        <v>น้ำหวาน รสเข้มข้นกลิ่นสตอเบอรี่ \ บรรจุขวด 760 ซีซี \ ตราติ่งฟง</v>
      </c>
      <c r="D130" s="5">
        <f>IFERROR(__xludf.DUMMYFUNCTION("""COMPUTED_VALUE"""),1.0)</f>
        <v>1</v>
      </c>
      <c r="E130" s="5">
        <f>IFERROR(__xludf.DUMMYFUNCTION("""COMPUTED_VALUE"""),3.0)</f>
        <v>3</v>
      </c>
      <c r="F130" s="5">
        <f>IFERROR(__xludf.DUMMYFUNCTION("""COMPUTED_VALUE"""),8.858732821026E12)</f>
        <v>8858732821026</v>
      </c>
      <c r="G130" s="5" t="str">
        <f>IFERROR(__xludf.DUMMYFUNCTION("""COMPUTED_VALUE"""),"ติ่งฟงสควอชน้ำสตอเบอร์รี่760ml")</f>
        <v>ติ่งฟงสควอชน้ำสตอเบอร์รี่760ml</v>
      </c>
      <c r="H130" s="7">
        <f>IFERROR(__xludf.DUMMYFUNCTION("""COMPUTED_VALUE"""),84.0)</f>
        <v>84</v>
      </c>
      <c r="I130" s="7">
        <f>IFERROR(__xludf.DUMMYFUNCTION("""COMPUTED_VALUE"""),21.0)</f>
        <v>21</v>
      </c>
      <c r="J130" s="5"/>
    </row>
    <row r="131">
      <c r="A131" s="5">
        <f>IFERROR(__xludf.DUMMYFUNCTION("""COMPUTED_VALUE"""),1160008.0)</f>
        <v>1160008</v>
      </c>
      <c r="B131" s="6" t="str">
        <f>IFERROR(__xludf.DUMMYFUNCTION("""COMPUTED_VALUE"""),"1160008111040501")</f>
        <v>1160008111040501</v>
      </c>
      <c r="C131" s="5" t="str">
        <f>IFERROR(__xludf.DUMMYFUNCTION("""COMPUTED_VALUE"""),"น้ำดื่มบริสุทธิ์ \ บรรจุขวดพลาสติกใส 600 ซีซี \ ตราคริสตัล")</f>
        <v>น้ำดื่มบริสุทธิ์ \ บรรจุขวดพลาสติกใส 600 ซีซี \ ตราคริสตัล</v>
      </c>
      <c r="D131" s="5">
        <f>IFERROR(__xludf.DUMMYFUNCTION("""COMPUTED_VALUE"""),3.0)</f>
        <v>3</v>
      </c>
      <c r="E131" s="5">
        <f>IFERROR(__xludf.DUMMYFUNCTION("""COMPUTED_VALUE"""),1.0)</f>
        <v>1</v>
      </c>
      <c r="F131" s="5">
        <f>IFERROR(__xludf.DUMMYFUNCTION("""COMPUTED_VALUE"""),8.851952350161E12)</f>
        <v>8851952350161</v>
      </c>
      <c r="G131" s="5" t="str">
        <f>IFERROR(__xludf.DUMMYFUNCTION("""COMPUTED_VALUE"""),"คริสตัลน้ำดื่ม600ml แบบขวด")</f>
        <v>คริสตัลน้ำดื่ม600ml แบบขวด</v>
      </c>
      <c r="H131" s="7">
        <f>IFERROR(__xludf.DUMMYFUNCTION("""COMPUTED_VALUE"""),7.0)</f>
        <v>7</v>
      </c>
      <c r="I131" s="7"/>
      <c r="J131" s="5"/>
    </row>
    <row r="132">
      <c r="A132" s="5">
        <f>IFERROR(__xludf.DUMMYFUNCTION("""COMPUTED_VALUE"""),1160008.0)</f>
        <v>1160008</v>
      </c>
      <c r="B132" s="6" t="str">
        <f>IFERROR(__xludf.DUMMYFUNCTION("""COMPUTED_VALUE"""),"1160008111041101")</f>
        <v>1160008111041101</v>
      </c>
      <c r="C132" s="5" t="str">
        <f>IFERROR(__xludf.DUMMYFUNCTION("""COMPUTED_VALUE"""),"น้ำดื่มบริสุทธิ์ \ บรรจุขวดพลาสติกใส 600 ซีซี \ ตราสิงห์")</f>
        <v>น้ำดื่มบริสุทธิ์ \ บรรจุขวดพลาสติกใส 600 ซีซี \ ตราสิงห์</v>
      </c>
      <c r="D132" s="5">
        <f>IFERROR(__xludf.DUMMYFUNCTION("""COMPUTED_VALUE"""),3.0)</f>
        <v>3</v>
      </c>
      <c r="E132" s="5">
        <f>IFERROR(__xludf.DUMMYFUNCTION("""COMPUTED_VALUE"""),2.0)</f>
        <v>2</v>
      </c>
      <c r="F132" s="5">
        <f>IFERROR(__xludf.DUMMYFUNCTION("""COMPUTED_VALUE"""),8.850999321004E12)</f>
        <v>8850999321004</v>
      </c>
      <c r="G132" s="5" t="str">
        <f>IFERROR(__xludf.DUMMYFUNCTION("""COMPUTED_VALUE"""),"สิงห์น้ำดื่ม600ml แบบขวด")</f>
        <v>สิงห์น้ำดื่ม600ml แบบขวด</v>
      </c>
      <c r="H132" s="7">
        <f>IFERROR(__xludf.DUMMYFUNCTION("""COMPUTED_VALUE"""),7.0)</f>
        <v>7</v>
      </c>
      <c r="I132" s="7"/>
      <c r="J132" s="5"/>
    </row>
    <row r="133">
      <c r="A133" s="5">
        <f>IFERROR(__xludf.DUMMYFUNCTION("""COMPUTED_VALUE"""),1160008.0)</f>
        <v>1160008</v>
      </c>
      <c r="B133" s="6" t="str">
        <f>IFERROR(__xludf.DUMMYFUNCTION("""COMPUTED_VALUE"""),"1160008111040401")</f>
        <v>1160008111040401</v>
      </c>
      <c r="C133" s="5" t="str">
        <f>IFERROR(__xludf.DUMMYFUNCTION("""COMPUTED_VALUE"""),"น้ำดื่มบริสุทธิ์ \ บรรจุขวดพลาสติกใส 600 ซีซี \ ตราเนสท์เล่เพียวไลท์")</f>
        <v>น้ำดื่มบริสุทธิ์ \ บรรจุขวดพลาสติกใส 600 ซีซี \ ตราเนสท์เล่เพียวไลท์</v>
      </c>
      <c r="D133" s="5">
        <f>IFERROR(__xludf.DUMMYFUNCTION("""COMPUTED_VALUE"""),3.0)</f>
        <v>3</v>
      </c>
      <c r="E133" s="5">
        <f>IFERROR(__xludf.DUMMYFUNCTION("""COMPUTED_VALUE"""),3.0)</f>
        <v>3</v>
      </c>
      <c r="F133" s="5">
        <f>IFERROR(__xludf.DUMMYFUNCTION("""COMPUTED_VALUE"""),8.85012400385E12)</f>
        <v>8850124003850</v>
      </c>
      <c r="G133" s="5" t="str">
        <f>IFERROR(__xludf.DUMMYFUNCTION("""COMPUTED_VALUE"""),"เนสท์เล่เพียวไลฟ์น้ำดื่ม600ml")</f>
        <v>เนสท์เล่เพียวไลฟ์น้ำดื่ม600ml</v>
      </c>
      <c r="H133" s="7">
        <f>IFERROR(__xludf.DUMMYFUNCTION("""COMPUTED_VALUE"""),7.0)</f>
        <v>7</v>
      </c>
      <c r="I133" s="7"/>
      <c r="J133" s="5"/>
    </row>
    <row r="134">
      <c r="A134" s="5">
        <f>IFERROR(__xludf.DUMMYFUNCTION("""COMPUTED_VALUE"""),1160008.0)</f>
        <v>1160008</v>
      </c>
      <c r="B134" s="6" t="str">
        <f>IFERROR(__xludf.DUMMYFUNCTION("""COMPUTED_VALUE"""),"1160008211010301")</f>
        <v>1160008211010301</v>
      </c>
      <c r="C134" s="5" t="str">
        <f>IFERROR(__xludf.DUMMYFUNCTION("""COMPUTED_VALUE"""),"น้ำดื่มบริสุทธิ์ \ บรรจุขวดพลาสติกใส 600 ซีซี (แบบแพ็ค 12 ขวด)\ ตราสิงห์")</f>
        <v>น้ำดื่มบริสุทธิ์ \ บรรจุขวดพลาสติกใส 600 ซีซี (แบบแพ็ค 12 ขวด)\ ตราสิงห์</v>
      </c>
      <c r="D134" s="5">
        <f>IFERROR(__xludf.DUMMYFUNCTION("""COMPUTED_VALUE"""),2.0)</f>
        <v>2</v>
      </c>
      <c r="E134" s="5">
        <f>IFERROR(__xludf.DUMMYFUNCTION("""COMPUTED_VALUE"""),4.0)</f>
        <v>4</v>
      </c>
      <c r="F134" s="5">
        <f>IFERROR(__xludf.DUMMYFUNCTION("""COMPUTED_VALUE"""),8.850999321028E12)</f>
        <v>8850999321028</v>
      </c>
      <c r="G134" s="5" t="str">
        <f>IFERROR(__xludf.DUMMYFUNCTION("""COMPUTED_VALUE"""),"สิงห์น้ำดื่ม600ml แบบแพ็ค")</f>
        <v>สิงห์น้ำดื่ม600ml แบบแพ็ค</v>
      </c>
      <c r="H134" s="7"/>
      <c r="I134" s="7"/>
      <c r="J134" s="5"/>
    </row>
    <row r="135">
      <c r="A135" s="5">
        <f>IFERROR(__xludf.DUMMYFUNCTION("""COMPUTED_VALUE"""),1160008.0)</f>
        <v>1160008</v>
      </c>
      <c r="B135" s="6" t="str">
        <f>IFERROR(__xludf.DUMMYFUNCTION("""COMPUTED_VALUE"""),"1160008111010701")</f>
        <v>1160008111010701</v>
      </c>
      <c r="C135" s="5" t="str">
        <f>IFERROR(__xludf.DUMMYFUNCTION("""COMPUTED_VALUE"""),"น้ำดื่มบริสุทธิ์ \ บรรจุขวดพลาสติกใส 1500 ซีซี (1.5 ลิตร) \ ตรา คริสตัล")</f>
        <v>น้ำดื่มบริสุทธิ์ \ บรรจุขวดพลาสติกใส 1500 ซีซี (1.5 ลิตร) \ ตรา คริสตัล</v>
      </c>
      <c r="D135" s="5">
        <f>IFERROR(__xludf.DUMMYFUNCTION("""COMPUTED_VALUE"""),1.0)</f>
        <v>1</v>
      </c>
      <c r="E135" s="5">
        <f>IFERROR(__xludf.DUMMYFUNCTION("""COMPUTED_VALUE"""),5.0)</f>
        <v>5</v>
      </c>
      <c r="F135" s="5">
        <f>IFERROR(__xludf.DUMMYFUNCTION("""COMPUTED_VALUE"""),8.851952350147E12)</f>
        <v>8851952350147</v>
      </c>
      <c r="G135" s="5" t="str">
        <f>IFERROR(__xludf.DUMMYFUNCTION("""COMPUTED_VALUE"""),"คริสตัลน้ำดื่ม1500ml")</f>
        <v>คริสตัลน้ำดื่ม1500ml</v>
      </c>
      <c r="H135" s="7">
        <f>IFERROR(__xludf.DUMMYFUNCTION("""COMPUTED_VALUE"""),14.0)</f>
        <v>14</v>
      </c>
      <c r="I135" s="7"/>
      <c r="J135" s="5"/>
    </row>
    <row r="136">
      <c r="A136" s="5">
        <f>IFERROR(__xludf.DUMMYFUNCTION("""COMPUTED_VALUE"""),1160008.0)</f>
        <v>1160008</v>
      </c>
      <c r="B136" s="6" t="str">
        <f>IFERROR(__xludf.DUMMYFUNCTION("""COMPUTED_VALUE"""),"1160008111010101")</f>
        <v>1160008111010101</v>
      </c>
      <c r="C136" s="5" t="str">
        <f>IFERROR(__xludf.DUMMYFUNCTION("""COMPUTED_VALUE"""),"น้ำดื่มบริสุทธิ์ \ บรรจุขวดพลาสติกใส 1500 ซีซี \ ตราสิงห์")</f>
        <v>น้ำดื่มบริสุทธิ์ \ บรรจุขวดพลาสติกใส 1500 ซีซี \ ตราสิงห์</v>
      </c>
      <c r="D136" s="5">
        <f>IFERROR(__xludf.DUMMYFUNCTION("""COMPUTED_VALUE"""),1.0)</f>
        <v>1</v>
      </c>
      <c r="E136" s="5">
        <f>IFERROR(__xludf.DUMMYFUNCTION("""COMPUTED_VALUE"""),6.0)</f>
        <v>6</v>
      </c>
      <c r="F136" s="5"/>
      <c r="G136" s="5" t="str">
        <f>IFERROR(__xludf.DUMMYFUNCTION("""COMPUTED_VALUE"""),"สิงห์น้ำดื่ม1500ml")</f>
        <v>สิงห์น้ำดื่ม1500ml</v>
      </c>
      <c r="H136" s="7">
        <f>IFERROR(__xludf.DUMMYFUNCTION("""COMPUTED_VALUE"""),12.0)</f>
        <v>12</v>
      </c>
      <c r="I136" s="7"/>
      <c r="J136" s="5"/>
    </row>
    <row r="137">
      <c r="A137" s="5">
        <f>IFERROR(__xludf.DUMMYFUNCTION("""COMPUTED_VALUE"""),1160008.0)</f>
        <v>1160008</v>
      </c>
      <c r="B137" s="6" t="str">
        <f>IFERROR(__xludf.DUMMYFUNCTION("""COMPUTED_VALUE"""),"1160008211010201")</f>
        <v>1160008211010201</v>
      </c>
      <c r="C137" s="5" t="str">
        <f>IFERROR(__xludf.DUMMYFUNCTION("""COMPUTED_VALUE"""),"น้ำดื่มบริสุทธิ์ \ บรรจุขวดพลาสติกใส 600 ซีซี (แบบแพ็ค 12 ขวด)\ ตราคริสตัล")</f>
        <v>น้ำดื่มบริสุทธิ์ \ บรรจุขวดพลาสติกใส 600 ซีซี (แบบแพ็ค 12 ขวด)\ ตราคริสตัล</v>
      </c>
      <c r="D137" s="5">
        <f>IFERROR(__xludf.DUMMYFUNCTION("""COMPUTED_VALUE"""),1.0)</f>
        <v>1</v>
      </c>
      <c r="E137" s="5">
        <f>IFERROR(__xludf.DUMMYFUNCTION("""COMPUTED_VALUE"""),7.0)</f>
        <v>7</v>
      </c>
      <c r="F137" s="5">
        <f>IFERROR(__xludf.DUMMYFUNCTION("""COMPUTED_VALUE"""),8.851952350789E12)</f>
        <v>8851952350789</v>
      </c>
      <c r="G137" s="5" t="str">
        <f>IFERROR(__xludf.DUMMYFUNCTION("""COMPUTED_VALUE"""),"คริสตัลน้ำดื่ม600ml แบบแพ็ค")</f>
        <v>คริสตัลน้ำดื่ม600ml แบบแพ็ค</v>
      </c>
      <c r="H137" s="7"/>
      <c r="I137" s="7"/>
      <c r="J137" s="5"/>
    </row>
    <row r="138">
      <c r="A138" s="5">
        <f>IFERROR(__xludf.DUMMYFUNCTION("""COMPUTED_VALUE"""),1160008.0)</f>
        <v>1160008</v>
      </c>
      <c r="B138" s="6" t="str">
        <f>IFERROR(__xludf.DUMMYFUNCTION("""COMPUTED_VALUE"""),"1160008211040101")</f>
        <v>1160008211040101</v>
      </c>
      <c r="C138" s="5" t="str">
        <f>IFERROR(__xludf.DUMMYFUNCTION("""COMPUTED_VALUE"""),"น้ำดื่มบริสุทธิ์ \ บรรจุขวดพลาสติกใส 550 ซีซี (แบบแพ็ค 12 ขวด)\ ตราน้ำทิพย์")</f>
        <v>น้ำดื่มบริสุทธิ์ \ บรรจุขวดพลาสติกใส 550 ซีซี (แบบแพ็ค 12 ขวด)\ ตราน้ำทิพย์</v>
      </c>
      <c r="D138" s="5">
        <f>IFERROR(__xludf.DUMMYFUNCTION("""COMPUTED_VALUE"""),1.0)</f>
        <v>1</v>
      </c>
      <c r="E138" s="5">
        <f>IFERROR(__xludf.DUMMYFUNCTION("""COMPUTED_VALUE"""),8.0)</f>
        <v>8</v>
      </c>
      <c r="F138" s="5">
        <f>IFERROR(__xludf.DUMMYFUNCTION("""COMPUTED_VALUE"""),8.851959439715E12)</f>
        <v>8851959439715</v>
      </c>
      <c r="G138" s="5" t="str">
        <f>IFERROR(__xludf.DUMMYFUNCTION("""COMPUTED_VALUE"""),"น้ำทิพย์น้ำดื่ม550ml")</f>
        <v>น้ำทิพย์น้ำดื่ม550ml</v>
      </c>
      <c r="H138" s="7"/>
      <c r="I138" s="7"/>
      <c r="J138" s="5"/>
    </row>
    <row r="139">
      <c r="A139" s="5">
        <f>IFERROR(__xludf.DUMMYFUNCTION("""COMPUTED_VALUE"""),1160011.0)</f>
        <v>1160011</v>
      </c>
      <c r="B139" s="6" t="str">
        <f>IFERROR(__xludf.DUMMYFUNCTION("""COMPUTED_VALUE"""),"1160011111010101")</f>
        <v>1160011111010101</v>
      </c>
      <c r="C139" s="5" t="str">
        <f>IFERROR(__xludf.DUMMYFUNCTION("""COMPUTED_VALUE"""),"เครื่องดื่มบำรุงกำลัง\ บรรจุขวด 100 ซีซี\ ตราลิโพวิตันดี")</f>
        <v>เครื่องดื่มบำรุงกำลัง\ บรรจุขวด 100 ซีซี\ ตราลิโพวิตันดี</v>
      </c>
      <c r="D139" s="5">
        <f>IFERROR(__xludf.DUMMYFUNCTION("""COMPUTED_VALUE"""),5.0)</f>
        <v>5</v>
      </c>
      <c r="E139" s="5">
        <f>IFERROR(__xludf.DUMMYFUNCTION("""COMPUTED_VALUE"""),1.0)</f>
        <v>1</v>
      </c>
      <c r="F139" s="5">
        <f>IFERROR(__xludf.DUMMYFUNCTION("""COMPUTED_VALUE"""),8.851123211024E12)</f>
        <v>8851123211024</v>
      </c>
      <c r="G139" s="5" t="str">
        <f>IFERROR(__xludf.DUMMYFUNCTION("""COMPUTED_VALUE"""),"ลิโพวิตันดีเครื่องดื่มชูกำลัง100ml")</f>
        <v>ลิโพวิตันดีเครื่องดื่มชูกำลัง100ml</v>
      </c>
      <c r="H139" s="7">
        <f>IFERROR(__xludf.DUMMYFUNCTION("""COMPUTED_VALUE"""),12.0)</f>
        <v>12</v>
      </c>
      <c r="I139" s="7"/>
      <c r="J139" s="5"/>
    </row>
    <row r="140">
      <c r="A140" s="5">
        <f>IFERROR(__xludf.DUMMYFUNCTION("""COMPUTED_VALUE"""),1160011.0)</f>
        <v>1160011</v>
      </c>
      <c r="B140" s="6" t="str">
        <f>IFERROR(__xludf.DUMMYFUNCTION("""COMPUTED_VALUE"""),"1160011111020401")</f>
        <v>1160011111020401</v>
      </c>
      <c r="C140" s="5" t="str">
        <f>IFERROR(__xludf.DUMMYFUNCTION("""COMPUTED_VALUE"""),"เครื่องดื่มบำรุงกำลัง \บรรจุขวด 150 ซี.ซี.\ ตรา M-150")</f>
        <v>เครื่องดื่มบำรุงกำลัง \บรรจุขวด 150 ซี.ซี.\ ตรา M-150</v>
      </c>
      <c r="D140" s="5">
        <f>IFERROR(__xludf.DUMMYFUNCTION("""COMPUTED_VALUE"""),3.0)</f>
        <v>3</v>
      </c>
      <c r="E140" s="5">
        <f>IFERROR(__xludf.DUMMYFUNCTION("""COMPUTED_VALUE"""),2.0)</f>
        <v>2</v>
      </c>
      <c r="F140" s="5">
        <f>IFERROR(__xludf.DUMMYFUNCTION("""COMPUTED_VALUE"""),8.851123212021E12)</f>
        <v>8851123212021</v>
      </c>
      <c r="G140" s="5" t="str">
        <f>IFERROR(__xludf.DUMMYFUNCTION("""COMPUTED_VALUE"""),"M150เครื่องดื่มชูกำลัง150ml")</f>
        <v>M150เครื่องดื่มชูกำลัง150ml</v>
      </c>
      <c r="H140" s="7">
        <f>IFERROR(__xludf.DUMMYFUNCTION("""COMPUTED_VALUE"""),12.0)</f>
        <v>12</v>
      </c>
      <c r="I140" s="7"/>
      <c r="J140" s="5"/>
    </row>
    <row r="141">
      <c r="A141" s="5">
        <f>IFERROR(__xludf.DUMMYFUNCTION("""COMPUTED_VALUE"""),1160011.0)</f>
        <v>1160011</v>
      </c>
      <c r="B141" s="6" t="str">
        <f>IFERROR(__xludf.DUMMYFUNCTION("""COMPUTED_VALUE"""),"1160011111040101")</f>
        <v>1160011111040101</v>
      </c>
      <c r="C141" s="5" t="str">
        <f>IFERROR(__xludf.DUMMYFUNCTION("""COMPUTED_VALUE"""),"เครื่องดื่มบำรุงกำลัง \บรรจุขวด 145 ซี.ซี. \ตรากระทิงแดงเอ็กตร้า")</f>
        <v>เครื่องดื่มบำรุงกำลัง \บรรจุขวด 145 ซี.ซี. \ตรากระทิงแดงเอ็กตร้า</v>
      </c>
      <c r="D141" s="5">
        <f>IFERROR(__xludf.DUMMYFUNCTION("""COMPUTED_VALUE"""),2.0)</f>
        <v>2</v>
      </c>
      <c r="E141" s="5">
        <f>IFERROR(__xludf.DUMMYFUNCTION("""COMPUTED_VALUE"""),3.0)</f>
        <v>3</v>
      </c>
      <c r="F141" s="5">
        <f>IFERROR(__xludf.DUMMYFUNCTION("""COMPUTED_VALUE"""),8.850228003046E12)</f>
        <v>8850228003046</v>
      </c>
      <c r="G141" s="5" t="str">
        <f>IFERROR(__xludf.DUMMYFUNCTION("""COMPUTED_VALUE"""),"กระทิงแดงExtraZincB12 145ml")</f>
        <v>กระทิงแดงExtraZincB12 145ml</v>
      </c>
      <c r="H141" s="7">
        <f>IFERROR(__xludf.DUMMYFUNCTION("""COMPUTED_VALUE"""),10.0)</f>
        <v>10</v>
      </c>
      <c r="I141" s="7"/>
      <c r="J141" s="5"/>
    </row>
    <row r="142">
      <c r="A142" s="5">
        <f>IFERROR(__xludf.DUMMYFUNCTION("""COMPUTED_VALUE"""),1160011.0)</f>
        <v>1160011</v>
      </c>
      <c r="B142" s="6" t="str">
        <f>IFERROR(__xludf.DUMMYFUNCTION("""COMPUTED_VALUE"""),"1160011111020501")</f>
        <v>1160011111020501</v>
      </c>
      <c r="C142" s="5" t="str">
        <f>IFERROR(__xludf.DUMMYFUNCTION("""COMPUTED_VALUE"""),"เครื่องดื่มบำรุงกำลัง \บรรจุขวด 150 ซี.ซี. \ตราคาราวบาวแดง")</f>
        <v>เครื่องดื่มบำรุงกำลัง \บรรจุขวด 150 ซี.ซี. \ตราคาราวบาวแดง</v>
      </c>
      <c r="D142" s="5">
        <f>IFERROR(__xludf.DUMMYFUNCTION("""COMPUTED_VALUE"""),1.0)</f>
        <v>1</v>
      </c>
      <c r="E142" s="5">
        <f>IFERROR(__xludf.DUMMYFUNCTION("""COMPUTED_VALUE"""),4.0)</f>
        <v>4</v>
      </c>
      <c r="F142" s="5">
        <f>IFERROR(__xludf.DUMMYFUNCTION("""COMPUTED_VALUE"""),8.855790000011E12)</f>
        <v>8855790000011</v>
      </c>
      <c r="G142" s="5" t="str">
        <f>IFERROR(__xludf.DUMMYFUNCTION("""COMPUTED_VALUE"""),"คาราบาวแดงเครื่องดื่มชูกำลัง150ml")</f>
        <v>คาราบาวแดงเครื่องดื่มชูกำลัง150ml</v>
      </c>
      <c r="H142" s="7">
        <f>IFERROR(__xludf.DUMMYFUNCTION("""COMPUTED_VALUE"""),10.0)</f>
        <v>10</v>
      </c>
      <c r="I142" s="7"/>
      <c r="J142" s="5"/>
    </row>
    <row r="143">
      <c r="A143" s="5">
        <f>IFERROR(__xludf.DUMMYFUNCTION("""COMPUTED_VALUE"""),1160011.0)</f>
        <v>1160011</v>
      </c>
      <c r="B143" s="6" t="str">
        <f>IFERROR(__xludf.DUMMYFUNCTION("""COMPUTED_VALUE"""),"1160011111020101")</f>
        <v>1160011111020101</v>
      </c>
      <c r="C143" s="5" t="str">
        <f>IFERROR(__xludf.DUMMYFUNCTION("""COMPUTED_VALUE"""),"เครื่องดื่มบำรุงกำลัง\ บรรจุขวด 150 ซี.ซี\. ตรากระทิงแดง")</f>
        <v>เครื่องดื่มบำรุงกำลัง\ บรรจุขวด 150 ซี.ซี\. ตรากระทิงแดง</v>
      </c>
      <c r="D143" s="5">
        <f>IFERROR(__xludf.DUMMYFUNCTION("""COMPUTED_VALUE"""),1.0)</f>
        <v>1</v>
      </c>
      <c r="E143" s="5">
        <f>IFERROR(__xludf.DUMMYFUNCTION("""COMPUTED_VALUE"""),5.0)</f>
        <v>5</v>
      </c>
      <c r="F143" s="5">
        <f>IFERROR(__xludf.DUMMYFUNCTION("""COMPUTED_VALUE"""),8.850228000106E12)</f>
        <v>8850228000106</v>
      </c>
      <c r="G143" s="5" t="str">
        <f>IFERROR(__xludf.DUMMYFUNCTION("""COMPUTED_VALUE"""),"PM_กระทิงแดง 150ml")</f>
        <v>PM_กระทิงแดง 150ml</v>
      </c>
      <c r="H143" s="7">
        <f>IFERROR(__xludf.DUMMYFUNCTION("""COMPUTED_VALUE"""),10.0)</f>
        <v>10</v>
      </c>
      <c r="I143" s="7"/>
      <c r="J143" s="5"/>
    </row>
    <row r="144">
      <c r="A144" s="5">
        <f>IFERROR(__xludf.DUMMYFUNCTION("""COMPUTED_VALUE"""),1160012.0)</f>
        <v>1160012</v>
      </c>
      <c r="B144" s="6" t="str">
        <f>IFERROR(__xludf.DUMMYFUNCTION("""COMPUTED_VALUE"""),"1160012111010102")</f>
        <v>1160012111010102</v>
      </c>
      <c r="C144" s="5" t="str">
        <f>IFERROR(__xludf.DUMMYFUNCTION("""COMPUTED_VALUE"""),"กาแฟสำเร็จรูปพร้อมดื่ม \บรรจุกระป๋อง ขนาด 180 ซีซี \ตราเบอร์ดี้โรบัสต้า")</f>
        <v>กาแฟสำเร็จรูปพร้อมดื่ม \บรรจุกระป๋อง ขนาด 180 ซีซี \ตราเบอร์ดี้โรบัสต้า</v>
      </c>
      <c r="D144" s="5">
        <f>IFERROR(__xludf.DUMMYFUNCTION("""COMPUTED_VALUE"""),2.0)</f>
        <v>2</v>
      </c>
      <c r="E144" s="5">
        <f>IFERROR(__xludf.DUMMYFUNCTION("""COMPUTED_VALUE"""),1.0)</f>
        <v>1</v>
      </c>
      <c r="F144" s="5">
        <f>IFERROR(__xludf.DUMMYFUNCTION("""COMPUTED_VALUE"""),8.850250000365E12)</f>
        <v>8850250000365</v>
      </c>
      <c r="G144" s="5" t="str">
        <f>IFERROR(__xludf.DUMMYFUNCTION("""COMPUTED_VALUE"""),"เบอร์ดี้โรบัสต้า180ml")</f>
        <v>เบอร์ดี้โรบัสต้า180ml</v>
      </c>
      <c r="H144" s="7"/>
      <c r="I144" s="7"/>
      <c r="J144" s="5"/>
    </row>
    <row r="145">
      <c r="A145" s="5">
        <f>IFERROR(__xludf.DUMMYFUNCTION("""COMPUTED_VALUE"""),1160012.0)</f>
        <v>1160012</v>
      </c>
      <c r="B145" s="6" t="str">
        <f>IFERROR(__xludf.DUMMYFUNCTION("""COMPUTED_VALUE"""),"1160012111010202")</f>
        <v>1160012111010202</v>
      </c>
      <c r="C145" s="5" t="str">
        <f>IFERROR(__xludf.DUMMYFUNCTION("""COMPUTED_VALUE"""),"กาแฟสำเร็จรูปพร้อมดื่ม\บรรจุกระป๋อง ขนาด 180 ซีซี \ตราเนสกาแฟเอสเปรสโซ่โรสต์")</f>
        <v>กาแฟสำเร็จรูปพร้อมดื่ม\บรรจุกระป๋อง ขนาด 180 ซีซี \ตราเนสกาแฟเอสเปรสโซ่โรสต์</v>
      </c>
      <c r="D145" s="5">
        <f>IFERROR(__xludf.DUMMYFUNCTION("""COMPUTED_VALUE"""),2.0)</f>
        <v>2</v>
      </c>
      <c r="E145" s="5">
        <f>IFERROR(__xludf.DUMMYFUNCTION("""COMPUTED_VALUE"""),2.0)</f>
        <v>2</v>
      </c>
      <c r="F145" s="5">
        <f>IFERROR(__xludf.DUMMYFUNCTION("""COMPUTED_VALUE"""),8.851012103706E12)</f>
        <v>8851012103706</v>
      </c>
      <c r="G145" s="5" t="str">
        <f>IFERROR(__xludf.DUMMYFUNCTION("""COMPUTED_VALUE"""),"เนสกาแฟเอสเพรสโซ180ml")</f>
        <v>เนสกาแฟเอสเพรสโซ180ml</v>
      </c>
      <c r="H145" s="7"/>
      <c r="I145" s="7"/>
      <c r="J145" s="5"/>
    </row>
    <row r="146">
      <c r="A146" s="5">
        <f>IFERROR(__xludf.DUMMYFUNCTION("""COMPUTED_VALUE"""),1160012.0)</f>
        <v>1160012</v>
      </c>
      <c r="B146" s="6" t="str">
        <f>IFERROR(__xludf.DUMMYFUNCTION("""COMPUTED_VALUE"""),"1160012111010103")</f>
        <v>1160012111010103</v>
      </c>
      <c r="C146" s="5" t="str">
        <f>IFERROR(__xludf.DUMMYFUNCTION("""COMPUTED_VALUE"""),"กาแฟสำเร็จรูปพร้อมดื่ม \บรรจุกระป๋อง ขนาด 180 ซีซี \ตราเบอร์ดี้ สูตรเอสเปรสโซ่")</f>
        <v>กาแฟสำเร็จรูปพร้อมดื่ม \บรรจุกระป๋อง ขนาด 180 ซีซี \ตราเบอร์ดี้ สูตรเอสเปรสโซ่</v>
      </c>
      <c r="D146" s="5">
        <f>IFERROR(__xludf.DUMMYFUNCTION("""COMPUTED_VALUE"""),1.0)</f>
        <v>1</v>
      </c>
      <c r="E146" s="5">
        <f>IFERROR(__xludf.DUMMYFUNCTION("""COMPUTED_VALUE"""),3.0)</f>
        <v>3</v>
      </c>
      <c r="F146" s="5">
        <f>IFERROR(__xludf.DUMMYFUNCTION("""COMPUTED_VALUE"""),8.850250006015E12)</f>
        <v>8850250006015</v>
      </c>
      <c r="G146" s="5" t="str">
        <f>IFERROR(__xludf.DUMMYFUNCTION("""COMPUTED_VALUE"""),"เบอร์ดี้เอสเพรสโซ180ml")</f>
        <v>เบอร์ดี้เอสเพรสโซ180ml</v>
      </c>
      <c r="H146" s="7"/>
      <c r="I146" s="7"/>
      <c r="J146" s="5"/>
    </row>
    <row r="147">
      <c r="A147" s="5">
        <f>IFERROR(__xludf.DUMMYFUNCTION("""COMPUTED_VALUE"""),1160012.0)</f>
        <v>1160012</v>
      </c>
      <c r="B147" s="6" t="str">
        <f>IFERROR(__xludf.DUMMYFUNCTION("""COMPUTED_VALUE"""),"1160012111010203")</f>
        <v>1160012111010203</v>
      </c>
      <c r="C147" s="5" t="str">
        <f>IFERROR(__xludf.DUMMYFUNCTION("""COMPUTED_VALUE"""),"กาแฟสำเร็จรูปพร้อมดื่ม\ บรรจุกระป๋อง ขนาด 180 ชีชี \ตราเนสกาแฟ ลาเต้")</f>
        <v>กาแฟสำเร็จรูปพร้อมดื่ม\ บรรจุกระป๋อง ขนาด 180 ชีชี \ตราเนสกาแฟ ลาเต้</v>
      </c>
      <c r="D147" s="5">
        <f>IFERROR(__xludf.DUMMYFUNCTION("""COMPUTED_VALUE"""),1.0)</f>
        <v>1</v>
      </c>
      <c r="E147" s="5">
        <f>IFERROR(__xludf.DUMMYFUNCTION("""COMPUTED_VALUE"""),4.0)</f>
        <v>4</v>
      </c>
      <c r="F147" s="5">
        <f>IFERROR(__xludf.DUMMYFUNCTION("""COMPUTED_VALUE"""),8.850124025258E12)</f>
        <v>8850124025258</v>
      </c>
      <c r="G147" s="5" t="str">
        <f>IFERROR(__xludf.DUMMYFUNCTION("""COMPUTED_VALUE"""),"เนสกาแฟลาเต้180ml")</f>
        <v>เนสกาแฟลาเต้180ml</v>
      </c>
      <c r="H147" s="7"/>
      <c r="I147" s="7"/>
      <c r="J147" s="5"/>
    </row>
    <row r="148">
      <c r="A148" s="5">
        <f>IFERROR(__xludf.DUMMYFUNCTION("""COMPUTED_VALUE"""),1160013.0)</f>
        <v>1160013</v>
      </c>
      <c r="B148" s="6" t="str">
        <f>IFERROR(__xludf.DUMMYFUNCTION("""COMPUTED_VALUE"""),"1160013111010201")</f>
        <v>1160013111010201</v>
      </c>
      <c r="C148" s="5" t="str">
        <f>IFERROR(__xludf.DUMMYFUNCTION("""COMPUTED_VALUE"""),"ชาสำเร็จรูปพร้อมดื่ม\ บรรจุขวดพลาสติก 500 มล. \ตราโออิชิกรีนที")</f>
        <v>ชาสำเร็จรูปพร้อมดื่ม\ บรรจุขวดพลาสติก 500 มล. \ตราโออิชิกรีนที</v>
      </c>
      <c r="D148" s="5">
        <f>IFERROR(__xludf.DUMMYFUNCTION("""COMPUTED_VALUE"""),4.0)</f>
        <v>4</v>
      </c>
      <c r="E148" s="5">
        <f>IFERROR(__xludf.DUMMYFUNCTION("""COMPUTED_VALUE"""),1.0)</f>
        <v>1</v>
      </c>
      <c r="F148" s="5">
        <f>IFERROR(__xludf.DUMMYFUNCTION("""COMPUTED_VALUE"""),8.85469800505E12)</f>
        <v>8854698005050</v>
      </c>
      <c r="G148" s="5" t="str">
        <f>IFERROR(__xludf.DUMMYFUNCTION("""COMPUTED_VALUE"""),"โออิชิชาเขียวพร้อมดื่มต้นตำรับ500ml")</f>
        <v>โออิชิชาเขียวพร้อมดื่มต้นตำรับ500ml</v>
      </c>
      <c r="H148" s="7"/>
      <c r="I148" s="7"/>
      <c r="J148" s="5"/>
    </row>
    <row r="149">
      <c r="A149" s="5">
        <f>IFERROR(__xludf.DUMMYFUNCTION("""COMPUTED_VALUE"""),1160013.0)</f>
        <v>1160013</v>
      </c>
      <c r="B149" s="6" t="str">
        <f>IFERROR(__xludf.DUMMYFUNCTION("""COMPUTED_VALUE"""),"1160013111050102")</f>
        <v>1160013111050102</v>
      </c>
      <c r="C149" s="5" t="str">
        <f>IFERROR(__xludf.DUMMYFUNCTION("""COMPUTED_VALUE"""),"ชาสำเร็จรูปพร้อมดื่ม\ บรรจุขวดพลาสติก 420 มล. \ตราอิชิตัน รสน้าผึ้งผสมมะนาว")</f>
        <v>ชาสำเร็จรูปพร้อมดื่ม\ บรรจุขวดพลาสติก 420 มล. \ตราอิชิตัน รสน้าผึ้งผสมมะนาว</v>
      </c>
      <c r="D149" s="5">
        <f>IFERROR(__xludf.DUMMYFUNCTION("""COMPUTED_VALUE"""),2.0)</f>
        <v>2</v>
      </c>
      <c r="E149" s="5">
        <f>IFERROR(__xludf.DUMMYFUNCTION("""COMPUTED_VALUE"""),2.0)</f>
        <v>2</v>
      </c>
      <c r="F149" s="5">
        <f>IFERROR(__xludf.DUMMYFUNCTION("""COMPUTED_VALUE"""),8.858891300073E12)</f>
        <v>8858891300073</v>
      </c>
      <c r="G149" s="5" t="str">
        <f>IFERROR(__xludf.DUMMYFUNCTION("""COMPUTED_VALUE"""),"อิชิตันออร์แกนิคน้ำผึงมะนาว420ml")</f>
        <v>อิชิตันออร์แกนิคน้ำผึงมะนาว420ml</v>
      </c>
      <c r="H149" s="7"/>
      <c r="I149" s="7"/>
      <c r="J149" s="5"/>
    </row>
    <row r="150">
      <c r="A150" s="5">
        <f>IFERROR(__xludf.DUMMYFUNCTION("""COMPUTED_VALUE"""),1160013.0)</f>
        <v>1160013</v>
      </c>
      <c r="B150" s="6" t="str">
        <f>IFERROR(__xludf.DUMMYFUNCTION("""COMPUTED_VALUE"""),"1160013111010204")</f>
        <v>1160013111010204</v>
      </c>
      <c r="C150" s="5" t="str">
        <f>IFERROR(__xludf.DUMMYFUNCTION("""COMPUTED_VALUE"""),"ชาสำเร็จรูปพร้อมดื่ม\ บรรจุขวดพลาสติก 500 มล. \ตราโออิชิกรีนที รสน้ำผึ้งผสมมะนาว")</f>
        <v>ชาสำเร็จรูปพร้อมดื่ม\ บรรจุขวดพลาสติก 500 มล. \ตราโออิชิกรีนที รสน้ำผึ้งผสมมะนาว</v>
      </c>
      <c r="D150" s="5">
        <f>IFERROR(__xludf.DUMMYFUNCTION("""COMPUTED_VALUE"""),1.0)</f>
        <v>1</v>
      </c>
      <c r="E150" s="5">
        <f>IFERROR(__xludf.DUMMYFUNCTION("""COMPUTED_VALUE"""),3.0)</f>
        <v>3</v>
      </c>
      <c r="F150" s="5">
        <f>IFERROR(__xludf.DUMMYFUNCTION("""COMPUTED_VALUE"""),8.854698005043E12)</f>
        <v>8854698005043</v>
      </c>
      <c r="G150" s="5" t="str">
        <f>IFERROR(__xludf.DUMMYFUNCTION("""COMPUTED_VALUE"""),"โออิชิชาเขียวน้ำผึ้งมะนาว500ml")</f>
        <v>โออิชิชาเขียวน้ำผึ้งมะนาว500ml</v>
      </c>
      <c r="H150" s="7"/>
      <c r="I150" s="7"/>
      <c r="J150" s="5"/>
    </row>
    <row r="151">
      <c r="A151" s="5">
        <f>IFERROR(__xludf.DUMMYFUNCTION("""COMPUTED_VALUE"""),1160013.0)</f>
        <v>1160013</v>
      </c>
      <c r="B151" s="6" t="str">
        <f>IFERROR(__xludf.DUMMYFUNCTION("""COMPUTED_VALUE"""),"1160013111060103")</f>
        <v>1160013111060103</v>
      </c>
      <c r="C151" s="5" t="str">
        <f>IFERROR(__xludf.DUMMYFUNCTION("""COMPUTED_VALUE"""),"ชาสำเร็จรูปพร้อมดื่ม\ บรรจุขวดพลาสติก 380 มล. \ตราโออิชิกรีนที \รสน้ำผึ้งผสมมะนาว")</f>
        <v>ชาสำเร็จรูปพร้อมดื่ม\ บรรจุขวดพลาสติก 380 มล. \ตราโออิชิกรีนที \รสน้ำผึ้งผสมมะนาว</v>
      </c>
      <c r="D151" s="5">
        <f>IFERROR(__xludf.DUMMYFUNCTION("""COMPUTED_VALUE"""),1.0)</f>
        <v>1</v>
      </c>
      <c r="E151" s="5">
        <f>IFERROR(__xludf.DUMMYFUNCTION("""COMPUTED_VALUE"""),4.0)</f>
        <v>4</v>
      </c>
      <c r="F151" s="5">
        <f>IFERROR(__xludf.DUMMYFUNCTION("""COMPUTED_VALUE"""),8.854698009669E12)</f>
        <v>8854698009669</v>
      </c>
      <c r="G151" s="5" t="str">
        <f>IFERROR(__xludf.DUMMYFUNCTION("""COMPUTED_VALUE"""),"โออิชิชาเขียวน้ำผึ้งมะนาว380ml")</f>
        <v>โออิชิชาเขียวน้ำผึ้งมะนาว380ml</v>
      </c>
      <c r="H151" s="7"/>
      <c r="I151" s="7"/>
      <c r="J151" s="5"/>
    </row>
    <row r="152">
      <c r="A152" s="5">
        <f>IFERROR(__xludf.DUMMYFUNCTION("""COMPUTED_VALUE"""),1160013.0)</f>
        <v>1160013</v>
      </c>
      <c r="B152" s="6" t="str">
        <f>IFERROR(__xludf.DUMMYFUNCTION("""COMPUTED_VALUE"""),"1160013111050101")</f>
        <v>1160013111050101</v>
      </c>
      <c r="C152" s="5" t="str">
        <f>IFERROR(__xludf.DUMMYFUNCTION("""COMPUTED_VALUE"""),"ชาสำเร็จรูปพร้อมดื่ม\ บรรจุขวดพลาสติก 420 มล. \ตราอิชิตัน")</f>
        <v>ชาสำเร็จรูปพร้อมดื่ม\ บรรจุขวดพลาสติก 420 มล. \ตราอิชิตัน</v>
      </c>
      <c r="D152" s="5">
        <f>IFERROR(__xludf.DUMMYFUNCTION("""COMPUTED_VALUE"""),1.0)</f>
        <v>1</v>
      </c>
      <c r="E152" s="5">
        <f>IFERROR(__xludf.DUMMYFUNCTION("""COMPUTED_VALUE"""),5.0)</f>
        <v>5</v>
      </c>
      <c r="F152" s="5">
        <f>IFERROR(__xludf.DUMMYFUNCTION("""COMPUTED_VALUE"""),8.854698009737E12)</f>
        <v>8854698009737</v>
      </c>
      <c r="G152" s="5" t="str">
        <f>IFERROR(__xludf.DUMMYFUNCTION("""COMPUTED_VALUE"""),"โออิชิชาเขียวพร้อมดื่มต้นตำรับ380ml")</f>
        <v>โออิชิชาเขียวพร้อมดื่มต้นตำรับ380ml</v>
      </c>
      <c r="H152" s="7"/>
      <c r="I152" s="7"/>
      <c r="J152" s="5"/>
    </row>
    <row r="153">
      <c r="A153" s="5">
        <f>IFERROR(__xludf.DUMMYFUNCTION("""COMPUTED_VALUE"""),1160014.0)</f>
        <v>1160014</v>
      </c>
      <c r="B153" s="6" t="str">
        <f>IFERROR(__xludf.DUMMYFUNCTION("""COMPUTED_VALUE"""),"1160014111050101")</f>
        <v>1160014111050101</v>
      </c>
      <c r="C153" s="5" t="str">
        <f>IFERROR(__xludf.DUMMYFUNCTION("""COMPUTED_VALUE"""),"ผลิตภัณฑ์เสริมอาหาร เครื่องดื่มรังนกแท้ \บรรจุแพ็ค 6 ขวด \ 40 ซีซี \ตรา สก๊อต รอเยล โกลด์")</f>
        <v>ผลิตภัณฑ์เสริมอาหาร เครื่องดื่มรังนกแท้ \บรรจุแพ็ค 6 ขวด \ 40 ซีซี \ตรา สก๊อต รอเยล โกลด์</v>
      </c>
      <c r="D153" s="5">
        <f>IFERROR(__xludf.DUMMYFUNCTION("""COMPUTED_VALUE"""),3.0)</f>
        <v>3</v>
      </c>
      <c r="E153" s="5">
        <f>IFERROR(__xludf.DUMMYFUNCTION("""COMPUTED_VALUE"""),1.0)</f>
        <v>1</v>
      </c>
      <c r="F153" s="5">
        <f>IFERROR(__xludf.DUMMYFUNCTION("""COMPUTED_VALUE"""),8.852007939515E12)</f>
        <v>8852007939515</v>
      </c>
      <c r="G153" s="5" t="str">
        <f>IFERROR(__xludf.DUMMYFUNCTION("""COMPUTED_VALUE"""),"สก๊อตรังนกแท้รอเยลโกลด์ 40ml")</f>
        <v>สก๊อตรังนกแท้รอเยลโกลด์ 40ml</v>
      </c>
      <c r="H153" s="7"/>
      <c r="I153" s="7"/>
      <c r="J153" s="5"/>
    </row>
    <row r="154">
      <c r="A154" s="5">
        <f>IFERROR(__xludf.DUMMYFUNCTION("""COMPUTED_VALUE"""),1160014.0)</f>
        <v>1160014</v>
      </c>
      <c r="B154" s="6" t="str">
        <f>IFERROR(__xludf.DUMMYFUNCTION("""COMPUTED_VALUE"""),"1160014212060101")</f>
        <v>1160014212060101</v>
      </c>
      <c r="C154" s="5" t="str">
        <f>IFERROR(__xludf.DUMMYFUNCTION("""COMPUTED_VALUE"""),"ผลิตภัณฑ์เสริมอาหาร ซุปไก่สกัด \บรรจุแพ็ค 12 ขวด \ 40 ซีซี \ตรา สก๊อต \สูตร 100%")</f>
        <v>ผลิตภัณฑ์เสริมอาหาร ซุปไก่สกัด \บรรจุแพ็ค 12 ขวด \ 40 ซีซี \ตรา สก๊อต \สูตร 100%</v>
      </c>
      <c r="D154" s="5">
        <f>IFERROR(__xludf.DUMMYFUNCTION("""COMPUTED_VALUE"""),3.0)</f>
        <v>3</v>
      </c>
      <c r="E154" s="5">
        <f>IFERROR(__xludf.DUMMYFUNCTION("""COMPUTED_VALUE"""),2.0)</f>
        <v>2</v>
      </c>
      <c r="F154" s="5">
        <f>IFERROR(__xludf.DUMMYFUNCTION("""COMPUTED_VALUE"""),8.852007934282E12)</f>
        <v>8852007934282</v>
      </c>
      <c r="G154" s="5" t="str">
        <f>IFERROR(__xludf.DUMMYFUNCTION("""COMPUTED_VALUE"""),"สก๊อตซุปไก่สกัด40mlx12")</f>
        <v>สก๊อตซุปไก่สกัด40mlx12</v>
      </c>
      <c r="H154" s="7">
        <f>IFERROR(__xludf.DUMMYFUNCTION("""COMPUTED_VALUE"""),401.0)</f>
        <v>401</v>
      </c>
      <c r="I154" s="7"/>
      <c r="J154" s="5"/>
    </row>
    <row r="155">
      <c r="A155" s="5">
        <f>IFERROR(__xludf.DUMMYFUNCTION("""COMPUTED_VALUE"""),1160014.0)</f>
        <v>1160014</v>
      </c>
      <c r="B155" s="6" t="str">
        <f>IFERROR(__xludf.DUMMYFUNCTION("""COMPUTED_VALUE"""),"1160014212020101")</f>
        <v>1160014212020101</v>
      </c>
      <c r="C155" s="5" t="str">
        <f>IFERROR(__xludf.DUMMYFUNCTION("""COMPUTED_VALUE"""),"ผลิตภัณฑ์เสริมอาหาร ซุปไก่สกัด \บรรจุแพ็ค 12 ขวด \ 42 ซีซี \ตรา แบรนด์ \สูตร ต้นตำรับ")</f>
        <v>ผลิตภัณฑ์เสริมอาหาร ซุปไก่สกัด \บรรจุแพ็ค 12 ขวด \ 42 ซีซี \ตรา แบรนด์ \สูตร ต้นตำรับ</v>
      </c>
      <c r="D155" s="5">
        <f>IFERROR(__xludf.DUMMYFUNCTION("""COMPUTED_VALUE"""),3.0)</f>
        <v>3</v>
      </c>
      <c r="E155" s="5">
        <f>IFERROR(__xludf.DUMMYFUNCTION("""COMPUTED_VALUE"""),3.0)</f>
        <v>3</v>
      </c>
      <c r="F155" s="5">
        <f>IFERROR(__xludf.DUMMYFUNCTION("""COMPUTED_VALUE"""),8.852001110019E12)</f>
        <v>8852001110019</v>
      </c>
      <c r="G155" s="5" t="str">
        <f>IFERROR(__xludf.DUMMYFUNCTION("""COMPUTED_VALUE"""),"แบรนด์ซุปไก่สูตรต้นตำรับ42ml")</f>
        <v>แบรนด์ซุปไก่สูตรต้นตำรับ42ml</v>
      </c>
      <c r="H155" s="7"/>
      <c r="I155" s="7"/>
      <c r="J155" s="5"/>
    </row>
    <row r="156">
      <c r="A156" s="5">
        <f>IFERROR(__xludf.DUMMYFUNCTION("""COMPUTED_VALUE"""),1160014.0)</f>
        <v>1160014</v>
      </c>
      <c r="B156" s="6" t="str">
        <f>IFERROR(__xludf.DUMMYFUNCTION("""COMPUTED_VALUE"""),"1160014111010101")</f>
        <v>1160014111010101</v>
      </c>
      <c r="C156" s="5" t="str">
        <f>IFERROR(__xludf.DUMMYFUNCTION("""COMPUTED_VALUE"""),"ผลิตภัณฑ์เสริมอาหาร เครื่องดื่มรังนกแท้ \บรรจุแพ็ค 6 ขวด \ 42 ซีซี \ตรา แบรนด์ \ สูตร คลาสสิค")</f>
        <v>ผลิตภัณฑ์เสริมอาหาร เครื่องดื่มรังนกแท้ \บรรจุแพ็ค 6 ขวด \ 42 ซีซี \ตรา แบรนด์ \ สูตร คลาสสิค</v>
      </c>
      <c r="D156" s="5">
        <f>IFERROR(__xludf.DUMMYFUNCTION("""COMPUTED_VALUE"""),2.0)</f>
        <v>2</v>
      </c>
      <c r="E156" s="5">
        <f>IFERROR(__xludf.DUMMYFUNCTION("""COMPUTED_VALUE"""),4.0)</f>
        <v>4</v>
      </c>
      <c r="F156" s="5">
        <f>IFERROR(__xludf.DUMMYFUNCTION("""COMPUTED_VALUE"""),8.852001109747E12)</f>
        <v>8852001109747</v>
      </c>
      <c r="G156" s="5" t="str">
        <f>IFERROR(__xludf.DUMMYFUNCTION("""COMPUTED_VALUE"""),"แบรนด์รังนกแท้ สูตรคลาสสิค 42ml")</f>
        <v>แบรนด์รังนกแท้ สูตรคลาสสิค 42ml</v>
      </c>
      <c r="H156" s="7"/>
      <c r="I156" s="7"/>
      <c r="J156" s="5"/>
    </row>
    <row r="157">
      <c r="A157" s="5">
        <f>IFERROR(__xludf.DUMMYFUNCTION("""COMPUTED_VALUE"""),1160016.0)</f>
        <v>1160016</v>
      </c>
      <c r="B157" s="6" t="str">
        <f>IFERROR(__xludf.DUMMYFUNCTION("""COMPUTED_VALUE"""),"1160016112010101")</f>
        <v>1160016112010101</v>
      </c>
      <c r="C157" s="5" t="str">
        <f>IFERROR(__xludf.DUMMYFUNCTION("""COMPUTED_VALUE"""),"เครื่องดื่มเกลือแร่ \บรรจุขวดแก้ว 250 มล. \ ตราสปอนเซอร์ออริจินัล")</f>
        <v>เครื่องดื่มเกลือแร่ \บรรจุขวดแก้ว 250 มล. \ ตราสปอนเซอร์ออริจินัล</v>
      </c>
      <c r="D157" s="5">
        <f>IFERROR(__xludf.DUMMYFUNCTION("""COMPUTED_VALUE"""),2.0)</f>
        <v>2</v>
      </c>
      <c r="E157" s="5">
        <f>IFERROR(__xludf.DUMMYFUNCTION("""COMPUTED_VALUE"""),1.0)</f>
        <v>1</v>
      </c>
      <c r="F157" s="5">
        <f>IFERROR(__xludf.DUMMYFUNCTION("""COMPUTED_VALUE"""),8.850228000403E12)</f>
        <v>8850228000403</v>
      </c>
      <c r="G157" s="5" t="str">
        <f>IFERROR(__xludf.DUMMYFUNCTION("""COMPUTED_VALUE"""),"สปอนเซอร์ออริจินัล250ml")</f>
        <v>สปอนเซอร์ออริจินัล250ml</v>
      </c>
      <c r="H157" s="7">
        <f>IFERROR(__xludf.DUMMYFUNCTION("""COMPUTED_VALUE"""),12.0)</f>
        <v>12</v>
      </c>
      <c r="I157" s="7"/>
      <c r="J157" s="5"/>
    </row>
    <row r="158">
      <c r="A158" s="5">
        <f>IFERROR(__xludf.DUMMYFUNCTION("""COMPUTED_VALUE"""),1160016.0)</f>
        <v>1160016</v>
      </c>
      <c r="B158" s="6" t="str">
        <f>IFERROR(__xludf.DUMMYFUNCTION("""COMPUTED_VALUE"""),"1160016111010101")</f>
        <v>1160016111010101</v>
      </c>
      <c r="C158" s="5" t="str">
        <f>IFERROR(__xludf.DUMMYFUNCTION("""COMPUTED_VALUE"""),"เครื่องดื่มเกลือแร่ \บรรจุขวดพลาสติก 420 มล. \ ตราสปอนเซอร์ออริจินัลโก")</f>
        <v>เครื่องดื่มเกลือแร่ \บรรจุขวดพลาสติก 420 มล. \ ตราสปอนเซอร์ออริจินัลโก</v>
      </c>
      <c r="D158" s="5">
        <f>IFERROR(__xludf.DUMMYFUNCTION("""COMPUTED_VALUE"""),1.0)</f>
        <v>1</v>
      </c>
      <c r="E158" s="5">
        <f>IFERROR(__xludf.DUMMYFUNCTION("""COMPUTED_VALUE"""),2.0)</f>
        <v>2</v>
      </c>
      <c r="F158" s="5">
        <f>IFERROR(__xludf.DUMMYFUNCTION("""COMPUTED_VALUE"""),8.850228006979E12)</f>
        <v>8850228006979</v>
      </c>
      <c r="G158" s="5" t="str">
        <f>IFERROR(__xludf.DUMMYFUNCTION("""COMPUTED_VALUE"""),"สปอนเซอร์ออริจินัลโก420ml")</f>
        <v>สปอนเซอร์ออริจินัลโก420ml</v>
      </c>
      <c r="H158" s="7">
        <f>IFERROR(__xludf.DUMMYFUNCTION("""COMPUTED_VALUE"""),15.0)</f>
        <v>15</v>
      </c>
      <c r="I158" s="7"/>
      <c r="J158" s="5"/>
    </row>
    <row r="159">
      <c r="A159" s="5">
        <f>IFERROR(__xludf.DUMMYFUNCTION("""COMPUTED_VALUE"""),1160016.0)</f>
        <v>1160016</v>
      </c>
      <c r="B159" s="6" t="str">
        <f>IFERROR(__xludf.DUMMYFUNCTION("""COMPUTED_VALUE"""),"1160016111020101")</f>
        <v>1160016111020101</v>
      </c>
      <c r="C159" s="5" t="str">
        <f>IFERROR(__xludf.DUMMYFUNCTION("""COMPUTED_VALUE"""),"เครื่องดื่มเกลือแร่ \บรรจุขวดพลาสติก 500 มล. \ ตราเกเตอเรด")</f>
        <v>เครื่องดื่มเกลือแร่ \บรรจุขวดพลาสติก 500 มล. \ ตราเกเตอเรด</v>
      </c>
      <c r="D159" s="5">
        <f>IFERROR(__xludf.DUMMYFUNCTION("""COMPUTED_VALUE"""),1.0)</f>
        <v>1</v>
      </c>
      <c r="E159" s="5">
        <f>IFERROR(__xludf.DUMMYFUNCTION("""COMPUTED_VALUE"""),3.0)</f>
        <v>3</v>
      </c>
      <c r="F159" s="5">
        <f>IFERROR(__xludf.DUMMYFUNCTION("""COMPUTED_VALUE"""),8.858998587056E12)</f>
        <v>8858998587056</v>
      </c>
      <c r="G159" s="5" t="str">
        <f>IFERROR(__xludf.DUMMYFUNCTION("""COMPUTED_VALUE"""),"เกเตอเรดบลูบลาส500ml")</f>
        <v>เกเตอเรดบลูบลาส500ml</v>
      </c>
      <c r="H159" s="7">
        <f>IFERROR(__xludf.DUMMYFUNCTION("""COMPUTED_VALUE"""),25.0)</f>
        <v>25</v>
      </c>
      <c r="I159" s="7">
        <f>IFERROR(__xludf.DUMMYFUNCTION("""COMPUTED_VALUE"""),22.0)</f>
        <v>22</v>
      </c>
      <c r="J159" s="5" t="str">
        <f>IFERROR(__xludf.DUMMYFUNCTION("""COMPUTED_VALUE"""),"PROMOTION MAIL (รอบ 25 ก.ย. - 24 ต.ค. 69)")</f>
        <v>PROMOTION MAIL (รอบ 25 ก.ย. - 24 ต.ค. 69)</v>
      </c>
    </row>
    <row r="160">
      <c r="A160" s="5">
        <f>IFERROR(__xludf.DUMMYFUNCTION("""COMPUTED_VALUE"""),1160016.0)</f>
        <v>1160016</v>
      </c>
      <c r="B160" s="6" t="str">
        <f>IFERROR(__xludf.DUMMYFUNCTION("""COMPUTED_VALUE"""),"1160016111020201")</f>
        <v>1160016111020201</v>
      </c>
      <c r="C160" s="5" t="str">
        <f>IFERROR(__xludf.DUMMYFUNCTION("""COMPUTED_VALUE"""),"เครื่องดื่มเกลือแร่ \บรรจุขวดพลาสติก 500 มล. \ ตราโพคารี่สเวท")</f>
        <v>เครื่องดื่มเกลือแร่ \บรรจุขวดพลาสติก 500 มล. \ ตราโพคารี่สเวท</v>
      </c>
      <c r="D160" s="5">
        <f>IFERROR(__xludf.DUMMYFUNCTION("""COMPUTED_VALUE"""),1.0)</f>
        <v>1</v>
      </c>
      <c r="E160" s="5">
        <f>IFERROR(__xludf.DUMMYFUNCTION("""COMPUTED_VALUE"""),4.0)</f>
        <v>4</v>
      </c>
      <c r="F160" s="5">
        <f>IFERROR(__xludf.DUMMYFUNCTION("""COMPUTED_VALUE"""),8.859453985011E12)</f>
        <v>8859453985011</v>
      </c>
      <c r="G160" s="5" t="str">
        <f>IFERROR(__xludf.DUMMYFUNCTION("""COMPUTED_VALUE"""),"โพคารี่สเวทเครื่องดื่มกลิ่นซิตรัส 500ml")</f>
        <v>โพคารี่สเวทเครื่องดื่มกลิ่นซิตรัส 500ml</v>
      </c>
      <c r="H160" s="7">
        <f>IFERROR(__xludf.DUMMYFUNCTION("""COMPUTED_VALUE"""),30.0)</f>
        <v>30</v>
      </c>
      <c r="I160" s="7"/>
      <c r="J160" s="5"/>
    </row>
    <row r="161">
      <c r="A161" s="5">
        <f>IFERROR(__xludf.DUMMYFUNCTION("""COMPUTED_VALUE"""),1160017.0)</f>
        <v>1160017</v>
      </c>
      <c r="B161" s="6" t="str">
        <f>IFERROR(__xludf.DUMMYFUNCTION("""COMPUTED_VALUE"""),"1160017111010101")</f>
        <v>1160017111010101</v>
      </c>
      <c r="C161" s="5" t="str">
        <f>IFERROR(__xludf.DUMMYFUNCTION("""COMPUTED_VALUE"""),"น้ำดื่มผสมวิตามินซี \บรรจุขวดพลาสติก 460 มล. \ ตรายันฮี")</f>
        <v>น้ำดื่มผสมวิตามินซี \บรรจุขวดพลาสติก 460 มล. \ ตรายันฮี</v>
      </c>
      <c r="D161" s="5">
        <f>IFERROR(__xludf.DUMMYFUNCTION("""COMPUTED_VALUE"""),3.0)</f>
        <v>3</v>
      </c>
      <c r="E161" s="5">
        <f>IFERROR(__xludf.DUMMYFUNCTION("""COMPUTED_VALUE"""),1.0)</f>
        <v>1</v>
      </c>
      <c r="F161" s="5">
        <f>IFERROR(__xludf.DUMMYFUNCTION("""COMPUTED_VALUE"""),8.859159800144E12)</f>
        <v>8859159800144</v>
      </c>
      <c r="G161" s="5" t="str">
        <f>IFERROR(__xludf.DUMMYFUNCTION("""COMPUTED_VALUE"""),"ยันฮีวิตามินบีวอเตอร์460ml")</f>
        <v>ยันฮีวิตามินบีวอเตอร์460ml</v>
      </c>
      <c r="H161" s="7">
        <f>IFERROR(__xludf.DUMMYFUNCTION("""COMPUTED_VALUE"""),17.0)</f>
        <v>17</v>
      </c>
      <c r="I161" s="7"/>
      <c r="J161" s="5"/>
    </row>
    <row r="162">
      <c r="A162" s="5">
        <f>IFERROR(__xludf.DUMMYFUNCTION("""COMPUTED_VALUE"""),1160017.0)</f>
        <v>1160017</v>
      </c>
      <c r="B162" s="6" t="str">
        <f>IFERROR(__xludf.DUMMYFUNCTION("""COMPUTED_VALUE"""),"1160017111020101")</f>
        <v>1160017111020101</v>
      </c>
      <c r="C162" s="5" t="str">
        <f>IFERROR(__xludf.DUMMYFUNCTION("""COMPUTED_VALUE"""),"น้ำดื่มผสมวิตามินซี \บรรจุขวดพลาสติก 480 มล. \ ตราวิตอะเดย์")</f>
        <v>น้ำดื่มผสมวิตามินซี \บรรจุขวดพลาสติก 480 มล. \ ตราวิตอะเดย์</v>
      </c>
      <c r="D162" s="5">
        <f>IFERROR(__xludf.DUMMYFUNCTION("""COMPUTED_VALUE"""),2.0)</f>
        <v>2</v>
      </c>
      <c r="E162" s="5">
        <f>IFERROR(__xludf.DUMMYFUNCTION("""COMPUTED_VALUE"""),2.0)</f>
        <v>2</v>
      </c>
      <c r="F162" s="5">
        <f>IFERROR(__xludf.DUMMYFUNCTION("""COMPUTED_VALUE"""),8.859015702278E12)</f>
        <v>8859015702278</v>
      </c>
      <c r="G162" s="5" t="str">
        <f>IFERROR(__xludf.DUMMYFUNCTION("""COMPUTED_VALUE"""),"วิตอะเดย์น้ำวิตามินซีฮันนี่เลมอน480ml")</f>
        <v>วิตอะเดย์น้ำวิตามินซีฮันนี่เลมอน480ml</v>
      </c>
      <c r="H162" s="7">
        <f>IFERROR(__xludf.DUMMYFUNCTION("""COMPUTED_VALUE"""),17.0)</f>
        <v>17</v>
      </c>
      <c r="I162" s="7"/>
      <c r="J162" s="5"/>
    </row>
    <row r="163">
      <c r="A163" s="5">
        <f>IFERROR(__xludf.DUMMYFUNCTION("""COMPUTED_VALUE"""),1171001.0)</f>
        <v>1171001</v>
      </c>
      <c r="B163" s="6" t="str">
        <f>IFERROR(__xludf.DUMMYFUNCTION("""COMPUTED_VALUE"""),"1171001111010201")</f>
        <v>1171001111010201</v>
      </c>
      <c r="C163" s="5" t="str">
        <f>IFERROR(__xludf.DUMMYFUNCTION("""COMPUTED_VALUE"""),"น้ำตาลทราย ขาวบริสุทธิ์\ บรรจุถุง 1 กก.\ ตรามิตรผล")</f>
        <v>น้ำตาลทราย ขาวบริสุทธิ์\ บรรจุถุง 1 กก.\ ตรามิตรผล</v>
      </c>
      <c r="D163" s="5">
        <f>IFERROR(__xludf.DUMMYFUNCTION("""COMPUTED_VALUE"""),4.0)</f>
        <v>4</v>
      </c>
      <c r="E163" s="5">
        <f>IFERROR(__xludf.DUMMYFUNCTION("""COMPUTED_VALUE"""),1.0)</f>
        <v>1</v>
      </c>
      <c r="F163" s="5">
        <f>IFERROR(__xludf.DUMMYFUNCTION("""COMPUTED_VALUE"""),8.850256100106E12)</f>
        <v>8850256100106</v>
      </c>
      <c r="G163" s="5" t="str">
        <f>IFERROR(__xludf.DUMMYFUNCTION("""COMPUTED_VALUE"""),"มิตรผลน้ำตาลทรายขาวบริสุทธิ์ 1kg")</f>
        <v>มิตรผลน้ำตาลทรายขาวบริสุทธิ์ 1kg</v>
      </c>
      <c r="H163" s="7">
        <f>IFERROR(__xludf.DUMMYFUNCTION("""COMPUTED_VALUE"""),27.0)</f>
        <v>27</v>
      </c>
      <c r="I163" s="7"/>
      <c r="J163" s="5"/>
    </row>
    <row r="164">
      <c r="A164" s="5">
        <f>IFERROR(__xludf.DUMMYFUNCTION("""COMPUTED_VALUE"""),1171001.0)</f>
        <v>1171001</v>
      </c>
      <c r="B164" s="6" t="str">
        <f>IFERROR(__xludf.DUMMYFUNCTION("""COMPUTED_VALUE"""),"1171001111010301")</f>
        <v>1171001111010301</v>
      </c>
      <c r="C164" s="5" t="str">
        <f>IFERROR(__xludf.DUMMYFUNCTION("""COMPUTED_VALUE"""),"น้ำตาลทราย สีขาวบริสุทธิ์\ บรรจุถุง 1 กก.\ ตราลิน")</f>
        <v>น้ำตาลทราย สีขาวบริสุทธิ์\ บรรจุถุง 1 กก.\ ตราลิน</v>
      </c>
      <c r="D164" s="5">
        <f>IFERROR(__xludf.DUMMYFUNCTION("""COMPUTED_VALUE"""),2.0)</f>
        <v>2</v>
      </c>
      <c r="E164" s="5">
        <f>IFERROR(__xludf.DUMMYFUNCTION("""COMPUTED_VALUE"""),2.0)</f>
        <v>2</v>
      </c>
      <c r="F164" s="5">
        <f>IFERROR(__xludf.DUMMYFUNCTION("""COMPUTED_VALUE"""),8.859296300019E12)</f>
        <v>8859296300019</v>
      </c>
      <c r="G164" s="5" t="str">
        <f>IFERROR(__xludf.DUMMYFUNCTION("""COMPUTED_VALUE"""),"ลินน้ำตาลทรายขาวบริสุทธิ์1kg")</f>
        <v>ลินน้ำตาลทรายขาวบริสุทธิ์1kg</v>
      </c>
      <c r="H164" s="7">
        <f>IFERROR(__xludf.DUMMYFUNCTION("""COMPUTED_VALUE"""),27.0)</f>
        <v>27</v>
      </c>
      <c r="I164" s="7"/>
      <c r="J164" s="5"/>
    </row>
    <row r="165">
      <c r="A165" s="5">
        <f>IFERROR(__xludf.DUMMYFUNCTION("""COMPUTED_VALUE"""),1171001.0)</f>
        <v>1171001</v>
      </c>
      <c r="B165" s="6" t="str">
        <f>IFERROR(__xludf.DUMMYFUNCTION("""COMPUTED_VALUE"""),"1171001111011101")</f>
        <v>1171001111011101</v>
      </c>
      <c r="C165" s="5" t="str">
        <f>IFERROR(__xludf.DUMMYFUNCTION("""COMPUTED_VALUE"""),"น้ำตาลทราย ขาวบริสุทธิ์\ บรรจุถุง 1 กก.\ ตรา KBS")</f>
        <v>น้ำตาลทราย ขาวบริสุทธิ์\ บรรจุถุง 1 กก.\ ตรา KBS</v>
      </c>
      <c r="D165" s="5">
        <f>IFERROR(__xludf.DUMMYFUNCTION("""COMPUTED_VALUE"""),1.0)</f>
        <v>1</v>
      </c>
      <c r="E165" s="5">
        <f>IFERROR(__xludf.DUMMYFUNCTION("""COMPUTED_VALUE"""),3.0)</f>
        <v>3</v>
      </c>
      <c r="F165" s="5">
        <f>IFERROR(__xludf.DUMMYFUNCTION("""COMPUTED_VALUE"""),8.858877700163E12)</f>
        <v>8858877700163</v>
      </c>
      <c r="G165" s="5" t="str">
        <f>IFERROR(__xludf.DUMMYFUNCTION("""COMPUTED_VALUE"""),"KBSน้ำตาลทรายขาวบริสุทธิ์ 1kg")</f>
        <v>KBSน้ำตาลทรายขาวบริสุทธิ์ 1kg</v>
      </c>
      <c r="H165" s="7">
        <f>IFERROR(__xludf.DUMMYFUNCTION("""COMPUTED_VALUE"""),27.0)</f>
        <v>27</v>
      </c>
      <c r="I165" s="7"/>
      <c r="J165" s="5"/>
    </row>
    <row r="166">
      <c r="A166" s="5">
        <f>IFERROR(__xludf.DUMMYFUNCTION("""COMPUTED_VALUE"""),1171001.0)</f>
        <v>1171001</v>
      </c>
      <c r="B166" s="6" t="str">
        <f>IFERROR(__xludf.DUMMYFUNCTION("""COMPUTED_VALUE"""),"1171001111011401")</f>
        <v>1171001111011401</v>
      </c>
      <c r="C166" s="5" t="str">
        <f>IFERROR(__xludf.DUMMYFUNCTION("""COMPUTED_VALUE"""),"น้ำตาลทราย ขาวบริสุทธิ์\ บรรจุถุง 1 กก.\ ตราษฎา")</f>
        <v>น้ำตาลทราย ขาวบริสุทธิ์\ บรรจุถุง 1 กก.\ ตราษฎา</v>
      </c>
      <c r="D166" s="5">
        <f>IFERROR(__xludf.DUMMYFUNCTION("""COMPUTED_VALUE"""),1.0)</f>
        <v>1</v>
      </c>
      <c r="E166" s="5">
        <f>IFERROR(__xludf.DUMMYFUNCTION("""COMPUTED_VALUE"""),4.0)</f>
        <v>4</v>
      </c>
      <c r="F166" s="5">
        <f>IFERROR(__xludf.DUMMYFUNCTION("""COMPUTED_VALUE"""),8.854570000012E12)</f>
        <v>8854570000012</v>
      </c>
      <c r="G166" s="5" t="str">
        <f>IFERROR(__xludf.DUMMYFUNCTION("""COMPUTED_VALUE"""),"ษฎาน้ำตาลทรายขาวบริสุทธิ์ 1kg")</f>
        <v>ษฎาน้ำตาลทรายขาวบริสุทธิ์ 1kg</v>
      </c>
      <c r="H166" s="7">
        <f>IFERROR(__xludf.DUMMYFUNCTION("""COMPUTED_VALUE"""),27.0)</f>
        <v>27</v>
      </c>
      <c r="I166" s="7"/>
      <c r="J166" s="5"/>
    </row>
    <row r="167">
      <c r="A167" s="5">
        <f>IFERROR(__xludf.DUMMYFUNCTION("""COMPUTED_VALUE"""),1171001.0)</f>
        <v>1171001</v>
      </c>
      <c r="B167" s="6" t="str">
        <f>IFERROR(__xludf.DUMMYFUNCTION("""COMPUTED_VALUE"""),"1171001211010202")</f>
        <v>1171001211010202</v>
      </c>
      <c r="C167" s="5" t="str">
        <f>IFERROR(__xludf.DUMMYFUNCTION("""COMPUTED_VALUE"""),"น้ำตาลทราย สีค่อนข้างคล้ำ\ บรรจุถุง 1 กก.\ ตรามิตรผล น้ำตาลอ้อยธรรมชาติ")</f>
        <v>น้ำตาลทราย สีค่อนข้างคล้ำ\ บรรจุถุง 1 กก.\ ตรามิตรผล น้ำตาลอ้อยธรรมชาติ</v>
      </c>
      <c r="D167" s="5">
        <f>IFERROR(__xludf.DUMMYFUNCTION("""COMPUTED_VALUE"""),1.0)</f>
        <v>1</v>
      </c>
      <c r="E167" s="5">
        <f>IFERROR(__xludf.DUMMYFUNCTION("""COMPUTED_VALUE"""),5.0)</f>
        <v>5</v>
      </c>
      <c r="F167" s="5">
        <f>IFERROR(__xludf.DUMMYFUNCTION("""COMPUTED_VALUE"""),8.850256510066E12)</f>
        <v>8850256510066</v>
      </c>
      <c r="G167" s="5" t="str">
        <f>IFERROR(__xludf.DUMMYFUNCTION("""COMPUTED_VALUE"""),"มิตรผลน้ำตาลอ้อยธรรมชาติ 1kg")</f>
        <v>มิตรผลน้ำตาลอ้อยธรรมชาติ 1kg</v>
      </c>
      <c r="H167" s="7">
        <f>IFERROR(__xludf.DUMMYFUNCTION("""COMPUTED_VALUE"""),29.0)</f>
        <v>29</v>
      </c>
      <c r="I167" s="7"/>
      <c r="J167" s="5" t="str">
        <f>IFERROR(__xludf.DUMMYFUNCTION("""COMPUTED_VALUE"""),"PROMOTION 7DAY รอบ 1-7 ต.ค. 69")</f>
        <v>PROMOTION 7DAY รอบ 1-7 ต.ค. 69</v>
      </c>
    </row>
    <row r="168">
      <c r="A168" s="5">
        <f>IFERROR(__xludf.DUMMYFUNCTION("""COMPUTED_VALUE"""),1171001.0)</f>
        <v>1171001</v>
      </c>
      <c r="B168" s="6" t="str">
        <f>IFERROR(__xludf.DUMMYFUNCTION("""COMPUTED_VALUE"""),"1171001211011601")</f>
        <v>1171001211011601</v>
      </c>
      <c r="C168" s="5" t="str">
        <f>IFERROR(__xludf.DUMMYFUNCTION("""COMPUTED_VALUE"""),"น้ำตาลทราย สีค่อนข้างคล้ำ\ บรรจุถุง 1 กก.\ ตราษฎา")</f>
        <v>น้ำตาลทราย สีค่อนข้างคล้ำ\ บรรจุถุง 1 กก.\ ตราษฎา</v>
      </c>
      <c r="D168" s="5">
        <f>IFERROR(__xludf.DUMMYFUNCTION("""COMPUTED_VALUE"""),1.0)</f>
        <v>1</v>
      </c>
      <c r="E168" s="5">
        <f>IFERROR(__xludf.DUMMYFUNCTION("""COMPUTED_VALUE"""),6.0)</f>
        <v>6</v>
      </c>
      <c r="F168" s="5">
        <f>IFERROR(__xludf.DUMMYFUNCTION("""COMPUTED_VALUE"""),8.854570000043E12)</f>
        <v>8854570000043</v>
      </c>
      <c r="G168" s="5" t="str">
        <f>IFERROR(__xludf.DUMMYFUNCTION("""COMPUTED_VALUE"""),"ษฎาน้ำตาลอ้อยธรรมชาติ1kg")</f>
        <v>ษฎาน้ำตาลอ้อยธรรมชาติ1kg</v>
      </c>
      <c r="H168" s="7">
        <f>IFERROR(__xludf.DUMMYFUNCTION("""COMPUTED_VALUE"""),29.0)</f>
        <v>29</v>
      </c>
      <c r="I168" s="7"/>
      <c r="J168" s="5"/>
    </row>
    <row r="169">
      <c r="A169" s="5">
        <f>IFERROR(__xludf.DUMMYFUNCTION("""COMPUTED_VALUE"""),1171001.0)</f>
        <v>1171001</v>
      </c>
      <c r="B169" s="6" t="str">
        <f>IFERROR(__xludf.DUMMYFUNCTION("""COMPUTED_VALUE"""),"1171001211010201")</f>
        <v>1171001211010201</v>
      </c>
      <c r="C169" s="5" t="str">
        <f>IFERROR(__xludf.DUMMYFUNCTION("""COMPUTED_VALUE"""),"น้ำตาลทราย สีค่อนข้างคล้ำ\ บรรจุถุง 1 กก.\ ตรามิตรผล โกลด์")</f>
        <v>น้ำตาลทราย สีค่อนข้างคล้ำ\ บรรจุถุง 1 กก.\ ตรามิตรผล โกลด์</v>
      </c>
      <c r="D169" s="5">
        <f>IFERROR(__xludf.DUMMYFUNCTION("""COMPUTED_VALUE"""),1.0)</f>
        <v>1</v>
      </c>
      <c r="E169" s="5">
        <f>IFERROR(__xludf.DUMMYFUNCTION("""COMPUTED_VALUE"""),7.0)</f>
        <v>7</v>
      </c>
      <c r="F169" s="5">
        <f>IFERROR(__xludf.DUMMYFUNCTION("""COMPUTED_VALUE"""),8.850256000505E12)</f>
        <v>8850256000505</v>
      </c>
      <c r="G169" s="5" t="str">
        <f>IFERROR(__xludf.DUMMYFUNCTION("""COMPUTED_VALUE"""),"มิตรผลโกลด์น้ำตาลเคลือบคาราเมล 1kg")</f>
        <v>มิตรผลโกลด์น้ำตาลเคลือบคาราเมล 1kg</v>
      </c>
      <c r="H169" s="7">
        <f>IFERROR(__xludf.DUMMYFUNCTION("""COMPUTED_VALUE"""),42.0)</f>
        <v>42</v>
      </c>
      <c r="I169" s="7">
        <f>IFERROR(__xludf.DUMMYFUNCTION("""COMPUTED_VALUE"""),37.0)</f>
        <v>37</v>
      </c>
      <c r="J169" s="5" t="str">
        <f>IFERROR(__xludf.DUMMYFUNCTION("""COMPUTED_VALUE"""),"PROMOTION MAIL (รอบ 25 ก.ย. - 24 ต.ค. 69)")</f>
        <v>PROMOTION MAIL (รอบ 25 ก.ย. - 24 ต.ค. 69)</v>
      </c>
    </row>
    <row r="170">
      <c r="A170" s="5">
        <f>IFERROR(__xludf.DUMMYFUNCTION("""COMPUTED_VALUE"""),1171001.0)</f>
        <v>1171001</v>
      </c>
      <c r="B170" s="6" t="str">
        <f>IFERROR(__xludf.DUMMYFUNCTION("""COMPUTED_VALUE"""),"1171001211010601")</f>
        <v>1171001211010601</v>
      </c>
      <c r="C170" s="5" t="str">
        <f>IFERROR(__xludf.DUMMYFUNCTION("""COMPUTED_VALUE"""),"น้ำตาลทราย สีค่อนข้างคล้ำ\ บรรจุถุง 1 กก.\ ตราลิน")</f>
        <v>น้ำตาลทราย สีค่อนข้างคล้ำ\ บรรจุถุง 1 กก.\ ตราลิน</v>
      </c>
      <c r="D170" s="5">
        <f>IFERROR(__xludf.DUMMYFUNCTION("""COMPUTED_VALUE"""),1.0)</f>
        <v>1</v>
      </c>
      <c r="E170" s="5">
        <f>IFERROR(__xludf.DUMMYFUNCTION("""COMPUTED_VALUE"""),8.0)</f>
        <v>8</v>
      </c>
      <c r="F170" s="5">
        <f>IFERROR(__xludf.DUMMYFUNCTION("""COMPUTED_VALUE"""),8.859296300804E12)</f>
        <v>8859296300804</v>
      </c>
      <c r="G170" s="5" t="str">
        <f>IFERROR(__xludf.DUMMYFUNCTION("""COMPUTED_VALUE"""),"ลินน้ำตาลอ้อยธรรมชาติ 1kg")</f>
        <v>ลินน้ำตาลอ้อยธรรมชาติ 1kg</v>
      </c>
      <c r="H170" s="7">
        <f>IFERROR(__xludf.DUMMYFUNCTION("""COMPUTED_VALUE"""),32.0)</f>
        <v>32</v>
      </c>
      <c r="I170" s="7"/>
      <c r="J170" s="5"/>
    </row>
    <row r="171">
      <c r="A171" s="5">
        <f>IFERROR(__xludf.DUMMYFUNCTION("""COMPUTED_VALUE"""),1171003.0)</f>
        <v>1171003</v>
      </c>
      <c r="B171" s="6" t="str">
        <f>IFERROR(__xludf.DUMMYFUNCTION("""COMPUTED_VALUE"""),"1171003111010101")</f>
        <v>1171003111010101</v>
      </c>
      <c r="C171" s="5" t="str">
        <f>IFERROR(__xludf.DUMMYFUNCTION("""COMPUTED_VALUE"""),"น้ำตาลทรายแดง(ละเอียด)\ บรรจุถุง 500 กรัม\ ตรามิตรผล")</f>
        <v>น้ำตาลทรายแดง(ละเอียด)\ บรรจุถุง 500 กรัม\ ตรามิตรผล</v>
      </c>
      <c r="D171" s="5">
        <f>IFERROR(__xludf.DUMMYFUNCTION("""COMPUTED_VALUE"""),4.0)</f>
        <v>4</v>
      </c>
      <c r="E171" s="5">
        <f>IFERROR(__xludf.DUMMYFUNCTION("""COMPUTED_VALUE"""),1.0)</f>
        <v>1</v>
      </c>
      <c r="F171" s="5">
        <f>IFERROR(__xludf.DUMMYFUNCTION("""COMPUTED_VALUE"""),8.85025650005E12)</f>
        <v>8850256500050</v>
      </c>
      <c r="G171" s="5" t="str">
        <f>IFERROR(__xludf.DUMMYFUNCTION("""COMPUTED_VALUE"""),"มิตรผลน้ำตาลทรายแดง 500g")</f>
        <v>มิตรผลน้ำตาลทรายแดง 500g</v>
      </c>
      <c r="H171" s="7">
        <f>IFERROR(__xludf.DUMMYFUNCTION("""COMPUTED_VALUE"""),33.0)</f>
        <v>33</v>
      </c>
      <c r="I171" s="7"/>
      <c r="J171" s="5"/>
    </row>
    <row r="172">
      <c r="A172" s="5">
        <f>IFERROR(__xludf.DUMMYFUNCTION("""COMPUTED_VALUE"""),1171003.0)</f>
        <v>1171003</v>
      </c>
      <c r="B172" s="6" t="str">
        <f>IFERROR(__xludf.DUMMYFUNCTION("""COMPUTED_VALUE"""),"1171003111010601")</f>
        <v>1171003111010601</v>
      </c>
      <c r="C172" s="5" t="str">
        <f>IFERROR(__xludf.DUMMYFUNCTION("""COMPUTED_VALUE"""),"น้ำตาลทรายแดง(ละเอียด) \ บรรจุถุง 500 กรัม \ตราไร่ทิพย์")</f>
        <v>น้ำตาลทรายแดง(ละเอียด) \ บรรจุถุง 500 กรัม \ตราไร่ทิพย์</v>
      </c>
      <c r="D172" s="5">
        <f>IFERROR(__xludf.DUMMYFUNCTION("""COMPUTED_VALUE"""),2.0)</f>
        <v>2</v>
      </c>
      <c r="E172" s="5">
        <f>IFERROR(__xludf.DUMMYFUNCTION("""COMPUTED_VALUE"""),2.0)</f>
        <v>2</v>
      </c>
      <c r="F172" s="5">
        <f>IFERROR(__xludf.DUMMYFUNCTION("""COMPUTED_VALUE"""),8.851683000434E12)</f>
        <v>8851683000434</v>
      </c>
      <c r="G172" s="5" t="str">
        <f>IFERROR(__xludf.DUMMYFUNCTION("""COMPUTED_VALUE"""),"ไร่ทิพย์น้ำตาลทรายแดง 500g")</f>
        <v>ไร่ทิพย์น้ำตาลทรายแดง 500g</v>
      </c>
      <c r="H172" s="7">
        <f>IFERROR(__xludf.DUMMYFUNCTION("""COMPUTED_VALUE"""),27.0)</f>
        <v>27</v>
      </c>
      <c r="I172" s="7"/>
      <c r="J172" s="5"/>
    </row>
    <row r="173">
      <c r="A173" s="5">
        <f>IFERROR(__xludf.DUMMYFUNCTION("""COMPUTED_VALUE"""),1171006.0)</f>
        <v>1171006</v>
      </c>
      <c r="B173" s="6" t="str">
        <f>IFERROR(__xludf.DUMMYFUNCTION("""COMPUTED_VALUE"""),"1171006113050101")</f>
        <v>1171006113050101</v>
      </c>
      <c r="C173" s="5" t="str">
        <f>IFERROR(__xludf.DUMMYFUNCTION("""COMPUTED_VALUE"""),"ไอศกรีม รสช็อกโกแลตมอลต์ \ บรรจุแท่ง 51 กรัม\ ตราเนสเล่ ไมโล")</f>
        <v>ไอศกรีม รสช็อกโกแลตมอลต์ \ บรรจุแท่ง 51 กรัม\ ตราเนสเล่ ไมโล</v>
      </c>
      <c r="D173" s="5">
        <f>IFERROR(__xludf.DUMMYFUNCTION("""COMPUTED_VALUE"""),2.0)</f>
        <v>2</v>
      </c>
      <c r="E173" s="5">
        <f>IFERROR(__xludf.DUMMYFUNCTION("""COMPUTED_VALUE"""),1.0)</f>
        <v>1</v>
      </c>
      <c r="F173" s="5">
        <f>IFERROR(__xludf.DUMMYFUNCTION("""COMPUTED_VALUE"""),8.850453015371E12)</f>
        <v>8850453015371</v>
      </c>
      <c r="G173" s="5" t="str">
        <f>IFERROR(__xludf.DUMMYFUNCTION("""COMPUTED_VALUE"""),"เนสท์เล่ไมโลช็อคโกแลตมอลต์ 51g 12253183")</f>
        <v>เนสท์เล่ไมโลช็อคโกแลตมอลต์ 51g 12253183</v>
      </c>
      <c r="H173" s="7">
        <f>IFERROR(__xludf.DUMMYFUNCTION("""COMPUTED_VALUE"""),13.0)</f>
        <v>13</v>
      </c>
      <c r="I173" s="7">
        <f>IFERROR(__xludf.DUMMYFUNCTION("""COMPUTED_VALUE"""),3.0)</f>
        <v>3</v>
      </c>
      <c r="J173" s="5"/>
    </row>
    <row r="174">
      <c r="A174" s="5">
        <f>IFERROR(__xludf.DUMMYFUNCTION("""COMPUTED_VALUE"""),1171006.0)</f>
        <v>1171006</v>
      </c>
      <c r="B174" s="6" t="str">
        <f>IFERROR(__xludf.DUMMYFUNCTION("""COMPUTED_VALUE"""),"1171006111150102")</f>
        <v>1171006111150102</v>
      </c>
      <c r="C174" s="5" t="str">
        <f>IFERROR(__xludf.DUMMYFUNCTION("""COMPUTED_VALUE"""),"ไอศกรีม รสช็อกโกแลต \บรรจุถ้วย 46 กรัม\ ตรา วอลล์")</f>
        <v>ไอศกรีม รสช็อกโกแลต \บรรจุถ้วย 46 กรัม\ ตรา วอลล์</v>
      </c>
      <c r="D174" s="5">
        <f>IFERROR(__xludf.DUMMYFUNCTION("""COMPUTED_VALUE"""),2.0)</f>
        <v>2</v>
      </c>
      <c r="E174" s="5">
        <f>IFERROR(__xludf.DUMMYFUNCTION("""COMPUTED_VALUE"""),2.0)</f>
        <v>2</v>
      </c>
      <c r="F174" s="5">
        <f>IFERROR(__xludf.DUMMYFUNCTION("""COMPUTED_VALUE"""),8.851932030618E12)</f>
        <v>8851932030618</v>
      </c>
      <c r="G174" s="5" t="str">
        <f>IFERROR(__xludf.DUMMYFUNCTION("""COMPUTED_VALUE"""),"วอลล์คัพช็อกโกแลต90ml")</f>
        <v>วอลล์คัพช็อกโกแลต90ml</v>
      </c>
      <c r="H174" s="7"/>
      <c r="I174" s="7"/>
      <c r="J174" s="5"/>
    </row>
    <row r="175">
      <c r="A175" s="5">
        <f>IFERROR(__xludf.DUMMYFUNCTION("""COMPUTED_VALUE"""),1171006.0)</f>
        <v>1171006</v>
      </c>
      <c r="B175" s="6" t="str">
        <f>IFERROR(__xludf.DUMMYFUNCTION("""COMPUTED_VALUE"""),"1171006111150103")</f>
        <v>1171006111150103</v>
      </c>
      <c r="C175" s="5" t="str">
        <f>IFERROR(__xludf.DUMMYFUNCTION("""COMPUTED_VALUE"""),"ไอศกรีม รสช็อกโกแลตชิฟ \บรรจุถ้วย 48 กรัม\ ตรา วอลล์")</f>
        <v>ไอศกรีม รสช็อกโกแลตชิฟ \บรรจุถ้วย 48 กรัม\ ตรา วอลล์</v>
      </c>
      <c r="D175" s="5">
        <f>IFERROR(__xludf.DUMMYFUNCTION("""COMPUTED_VALUE"""),2.0)</f>
        <v>2</v>
      </c>
      <c r="E175" s="5">
        <f>IFERROR(__xludf.DUMMYFUNCTION("""COMPUTED_VALUE"""),3.0)</f>
        <v>3</v>
      </c>
      <c r="F175" s="5">
        <f>IFERROR(__xludf.DUMMYFUNCTION("""COMPUTED_VALUE"""),8.851932126366E12)</f>
        <v>8851932126366</v>
      </c>
      <c r="G175" s="5" t="str">
        <f>IFERROR(__xludf.DUMMYFUNCTION("""COMPUTED_VALUE"""),"วอลล์คัพช็อกโกแลตชิพ90ml")</f>
        <v>วอลล์คัพช็อกโกแลตชิพ90ml</v>
      </c>
      <c r="H175" s="7"/>
      <c r="I175" s="7"/>
      <c r="J175" s="5"/>
    </row>
    <row r="176">
      <c r="A176" s="5">
        <f>IFERROR(__xludf.DUMMYFUNCTION("""COMPUTED_VALUE"""),1230014.0)</f>
        <v>1230014</v>
      </c>
      <c r="B176" s="6" t="str">
        <f>IFERROR(__xludf.DUMMYFUNCTION("""COMPUTED_VALUE"""),"1230014111430101")</f>
        <v>1230014111430101</v>
      </c>
      <c r="C176" s="5" t="str">
        <f>IFERROR(__xludf.DUMMYFUNCTION("""COMPUTED_VALUE"""),"อาหารว่าง มันฝรั่งทอดกรอบ \บรรจุถุง \ขนาด 46 กรัม \ตราเลย์ รสมันฝรั่งแท้")</f>
        <v>อาหารว่าง มันฝรั่งทอดกรอบ \บรรจุถุง \ขนาด 46 กรัม \ตราเลย์ รสมันฝรั่งแท้</v>
      </c>
      <c r="D176" s="5">
        <f>IFERROR(__xludf.DUMMYFUNCTION("""COMPUTED_VALUE"""),2.0)</f>
        <v>2</v>
      </c>
      <c r="E176" s="5">
        <f>IFERROR(__xludf.DUMMYFUNCTION("""COMPUTED_VALUE"""),1.0)</f>
        <v>1</v>
      </c>
      <c r="F176" s="5">
        <f>IFERROR(__xludf.DUMMYFUNCTION("""COMPUTED_VALUE"""),8.850718801473E12)</f>
        <v>8850718801473</v>
      </c>
      <c r="G176" s="5" t="str">
        <f>IFERROR(__xludf.DUMMYFUNCTION("""COMPUTED_VALUE"""),"เลย์คลาสสิคออริจินอล42g/46g")</f>
        <v>เลย์คลาสสิคออริจินอล42g/46g</v>
      </c>
      <c r="H176" s="7">
        <f>IFERROR(__xludf.DUMMYFUNCTION("""COMPUTED_VALUE"""),22.0)</f>
        <v>22</v>
      </c>
      <c r="I176" s="7"/>
      <c r="J176" s="5"/>
    </row>
    <row r="177">
      <c r="A177" s="5">
        <f>IFERROR(__xludf.DUMMYFUNCTION("""COMPUTED_VALUE"""),1230014.0)</f>
        <v>1230014</v>
      </c>
      <c r="B177" s="6" t="str">
        <f>IFERROR(__xludf.DUMMYFUNCTION("""COMPUTED_VALUE"""),"1230014111440201")</f>
        <v>1230014111440201</v>
      </c>
      <c r="C177" s="5" t="str">
        <f>IFERROR(__xludf.DUMMYFUNCTION("""COMPUTED_VALUE"""),"อาหารว่าง มันฝรั่งทอดกรอบ \บรรจุถุง \ขนาด 42 กรัม \ตราเทศโต้ รสมันฝรั่งแท้")</f>
        <v>อาหารว่าง มันฝรั่งทอดกรอบ \บรรจุถุง \ขนาด 42 กรัม \ตราเทศโต้ รสมันฝรั่งแท้</v>
      </c>
      <c r="D177" s="5">
        <f>IFERROR(__xludf.DUMMYFUNCTION("""COMPUTED_VALUE"""),2.0)</f>
        <v>2</v>
      </c>
      <c r="E177" s="5">
        <f>IFERROR(__xludf.DUMMYFUNCTION("""COMPUTED_VALUE"""),2.0)</f>
        <v>2</v>
      </c>
      <c r="F177" s="5">
        <f>IFERROR(__xludf.DUMMYFUNCTION("""COMPUTED_VALUE"""),8.851004402251E12)</f>
        <v>8851004402251</v>
      </c>
      <c r="G177" s="5" t="str">
        <f>IFERROR(__xludf.DUMMYFUNCTION("""COMPUTED_VALUE"""),"เทสโตมันฝรั่งแผ่นเรียบออริจินอล42g")</f>
        <v>เทสโตมันฝรั่งแผ่นเรียบออริจินอล42g</v>
      </c>
      <c r="H177" s="7">
        <f>IFERROR(__xludf.DUMMYFUNCTION("""COMPUTED_VALUE"""),22.0)</f>
        <v>22</v>
      </c>
      <c r="I177" s="7"/>
      <c r="J177" s="5"/>
    </row>
    <row r="178">
      <c r="A178" s="5">
        <f>IFERROR(__xludf.DUMMYFUNCTION("""COMPUTED_VALUE"""),1230014.0)</f>
        <v>1230014</v>
      </c>
      <c r="B178" s="6" t="str">
        <f>IFERROR(__xludf.DUMMYFUNCTION("""COMPUTED_VALUE"""),"1230014111460101")</f>
        <v>1230014111460101</v>
      </c>
      <c r="C178" s="5" t="str">
        <f>IFERROR(__xludf.DUMMYFUNCTION("""COMPUTED_VALUE"""),"อาหารว่าง มันฝรั่งทอดกรอบ \บรรจุถุง \ขนาด 69 กรัม \ตราเทสโต รสมันฝรั่งแท้")</f>
        <v>อาหารว่าง มันฝรั่งทอดกรอบ \บรรจุถุง \ขนาด 69 กรัม \ตราเทสโต รสมันฝรั่งแท้</v>
      </c>
      <c r="D178" s="5">
        <f>IFERROR(__xludf.DUMMYFUNCTION("""COMPUTED_VALUE"""),1.0)</f>
        <v>1</v>
      </c>
      <c r="E178" s="5">
        <f>IFERROR(__xludf.DUMMYFUNCTION("""COMPUTED_VALUE"""),3.0)</f>
        <v>3</v>
      </c>
      <c r="F178" s="5">
        <f>IFERROR(__xludf.DUMMYFUNCTION("""COMPUTED_VALUE"""),8.851004402268E12)</f>
        <v>8851004402268</v>
      </c>
      <c r="G178" s="5" t="str">
        <f>IFERROR(__xludf.DUMMYFUNCTION("""COMPUTED_VALUE"""),"เทสโตแผ่นหยักมันฝรั่งแท้69g")</f>
        <v>เทสโตแผ่นหยักมันฝรั่งแท้69g</v>
      </c>
      <c r="H178" s="7">
        <f>IFERROR(__xludf.DUMMYFUNCTION("""COMPUTED_VALUE"""),32.0)</f>
        <v>32</v>
      </c>
      <c r="I178" s="7">
        <f>IFERROR(__xludf.DUMMYFUNCTION("""COMPUTED_VALUE"""),26.0)</f>
        <v>26</v>
      </c>
      <c r="J178" s="5" t="str">
        <f>IFERROR(__xludf.DUMMYFUNCTION("""COMPUTED_VALUE"""),"PROMOTION MAIL (รอบ 25 ก.ย. - 24 ต.ค. 69)")</f>
        <v>PROMOTION MAIL (รอบ 25 ก.ย. - 24 ต.ค. 69)</v>
      </c>
    </row>
    <row r="179">
      <c r="A179" s="5">
        <f>IFERROR(__xludf.DUMMYFUNCTION("""COMPUTED_VALUE"""),1230014.0)</f>
        <v>1230014</v>
      </c>
      <c r="B179" s="6" t="str">
        <f>IFERROR(__xludf.DUMMYFUNCTION("""COMPUTED_VALUE"""),"1230014111460201")</f>
        <v>1230014111460201</v>
      </c>
      <c r="C179" s="5" t="str">
        <f>IFERROR(__xludf.DUMMYFUNCTION("""COMPUTED_VALUE"""),"อาหารว่าง มันฝรั่งทอดกรอบ \บรรจุถุง \ขนาด 69 กรัม \ตราเลย์ รสมันฝรั่งแท้")</f>
        <v>อาหารว่าง มันฝรั่งทอดกรอบ \บรรจุถุง \ขนาด 69 กรัม \ตราเลย์ รสมันฝรั่งแท้</v>
      </c>
      <c r="D179" s="5">
        <f>IFERROR(__xludf.DUMMYFUNCTION("""COMPUTED_VALUE"""),1.0)</f>
        <v>1</v>
      </c>
      <c r="E179" s="5">
        <f>IFERROR(__xludf.DUMMYFUNCTION("""COMPUTED_VALUE"""),4.0)</f>
        <v>4</v>
      </c>
      <c r="F179" s="5">
        <f>IFERROR(__xludf.DUMMYFUNCTION("""COMPUTED_VALUE"""),8.850718801213E12)</f>
        <v>8850718801213</v>
      </c>
      <c r="G179" s="5" t="str">
        <f>IFERROR(__xludf.DUMMYFUNCTION("""COMPUTED_VALUE"""),"เลย์คลาสสิคออริจินอล69g")</f>
        <v>เลย์คลาสสิคออริจินอล69g</v>
      </c>
      <c r="H179" s="7">
        <f>IFERROR(__xludf.DUMMYFUNCTION("""COMPUTED_VALUE"""),32.0)</f>
        <v>32</v>
      </c>
      <c r="I179" s="7"/>
      <c r="J179" s="5" t="str">
        <f>IFERROR(__xludf.DUMMYFUNCTION("""COMPUTED_VALUE"""),"PROMOTION 7DAY รอบ 1-7 ต.ค. 69")</f>
        <v>PROMOTION 7DAY รอบ 1-7 ต.ค. 69</v>
      </c>
    </row>
    <row r="180">
      <c r="A180" s="5">
        <f>IFERROR(__xludf.DUMMYFUNCTION("""COMPUTED_VALUE"""),1230015.0)</f>
        <v>1230015</v>
      </c>
      <c r="B180" s="6" t="str">
        <f>IFERROR(__xludf.DUMMYFUNCTION("""COMPUTED_VALUE"""),"1230015121070201")</f>
        <v>1230015121070201</v>
      </c>
      <c r="C180" s="5" t="str">
        <f>IFERROR(__xludf.DUMMYFUNCTION("""COMPUTED_VALUE"""),"ข้าวกะเพรา \หมู \ บรรจุแพ็คพลาสติก\ ปริมาณ 200 กรัม \ตรา เบทาโก")</f>
        <v>ข้าวกะเพรา \หมู \ บรรจุแพ็คพลาสติก\ ปริมาณ 200 กรัม \ตรา เบทาโก</v>
      </c>
      <c r="D180" s="5">
        <f>IFERROR(__xludf.DUMMYFUNCTION("""COMPUTED_VALUE"""),3.0)</f>
        <v>3</v>
      </c>
      <c r="E180" s="5">
        <f>IFERROR(__xludf.DUMMYFUNCTION("""COMPUTED_VALUE"""),1.0)</f>
        <v>1</v>
      </c>
      <c r="F180" s="5">
        <f>IFERROR(__xludf.DUMMYFUNCTION("""COMPUTED_VALUE"""),8.852043610065E12)</f>
        <v>8852043610065</v>
      </c>
      <c r="G180" s="5" t="str">
        <f>IFERROR(__xludf.DUMMYFUNCTION("""COMPUTED_VALUE"""),"เบทาโกรข้าวกะเพราหมูสูตรโบราณFZ200g")</f>
        <v>เบทาโกรข้าวกะเพราหมูสูตรโบราณFZ200g</v>
      </c>
      <c r="H180" s="7"/>
      <c r="I180" s="7"/>
      <c r="J180" s="5"/>
    </row>
    <row r="181">
      <c r="A181" s="5">
        <f>IFERROR(__xludf.DUMMYFUNCTION("""COMPUTED_VALUE"""),1230015.0)</f>
        <v>1230015</v>
      </c>
      <c r="B181" s="6" t="str">
        <f>IFERROR(__xludf.DUMMYFUNCTION("""COMPUTED_VALUE"""),"1230015711050101")</f>
        <v>1230015711050101</v>
      </c>
      <c r="C181" s="5" t="str">
        <f>IFERROR(__xludf.DUMMYFUNCTION("""COMPUTED_VALUE"""),"สปาเก็ตตี้คาโบนาร่า บรรจุกล่องพลาสติก\ ปริมาณ 200 กรัม \ตรา BKP")</f>
        <v>สปาเก็ตตี้คาโบนาร่า บรรจุกล่องพลาสติก\ ปริมาณ 200 กรัม \ตรา BKP</v>
      </c>
      <c r="D181" s="5">
        <f>IFERROR(__xludf.DUMMYFUNCTION("""COMPUTED_VALUE"""),2.0)</f>
        <v>2</v>
      </c>
      <c r="E181" s="5">
        <f>IFERROR(__xludf.DUMMYFUNCTION("""COMPUTED_VALUE"""),2.0)</f>
        <v>2</v>
      </c>
      <c r="F181" s="5">
        <f>IFERROR(__xludf.DUMMYFUNCTION("""COMPUTED_VALUE"""),8.850653197839E12)</f>
        <v>8850653197839</v>
      </c>
      <c r="G181" s="5" t="str">
        <f>IFERROR(__xludf.DUMMYFUNCTION("""COMPUTED_VALUE"""),"BKPสปาเก็ตตี้คาโบนาร่าไก่สไลซ์รมควัน200g")</f>
        <v>BKPสปาเก็ตตี้คาโบนาร่าไก่สไลซ์รมควัน200g</v>
      </c>
      <c r="H181" s="7"/>
      <c r="I181" s="7"/>
      <c r="J181" s="5"/>
    </row>
    <row r="182">
      <c r="A182" s="5">
        <f>IFERROR(__xludf.DUMMYFUNCTION("""COMPUTED_VALUE"""),1230016.0)</f>
        <v>1230016</v>
      </c>
      <c r="B182" s="6" t="str">
        <f>IFERROR(__xludf.DUMMYFUNCTION("""COMPUTED_VALUE"""),"1230016312010101")</f>
        <v>1230016312010101</v>
      </c>
      <c r="C182" s="5" t="str">
        <f>IFERROR(__xludf.DUMMYFUNCTION("""COMPUTED_VALUE"""),"บะหมี่กึ่งสำเร็จรูป รสต้มยำกุ้ง\บรรจุซอง 55 กรัม (แพ็ค 10 ซอง) \ตรามาม่า")</f>
        <v>บะหมี่กึ่งสำเร็จรูป รสต้มยำกุ้ง\บรรจุซอง 55 กรัม (แพ็ค 10 ซอง) \ตรามาม่า</v>
      </c>
      <c r="D182" s="5">
        <f>IFERROR(__xludf.DUMMYFUNCTION("""COMPUTED_VALUE"""),3.0)</f>
        <v>3</v>
      </c>
      <c r="E182" s="5">
        <f>IFERROR(__xludf.DUMMYFUNCTION("""COMPUTED_VALUE"""),1.0)</f>
        <v>1</v>
      </c>
      <c r="F182" s="5">
        <f>IFERROR(__xludf.DUMMYFUNCTION("""COMPUTED_VALUE"""),8.850987101205E12)</f>
        <v>8850987101205</v>
      </c>
      <c r="G182" s="5" t="str">
        <f>IFERROR(__xludf.DUMMYFUNCTION("""COMPUTED_VALUE"""),"มาม่า ต้มยำกุ้ง 55g x10")</f>
        <v>มาม่า ต้มยำกุ้ง 55g x10</v>
      </c>
      <c r="H182" s="7">
        <f>IFERROR(__xludf.DUMMYFUNCTION("""COMPUTED_VALUE"""),65.0)</f>
        <v>65</v>
      </c>
      <c r="I182" s="7"/>
      <c r="J182" s="5"/>
    </row>
    <row r="183">
      <c r="A183" s="5">
        <f>IFERROR(__xludf.DUMMYFUNCTION("""COMPUTED_VALUE"""),1230016.0)</f>
        <v>1230016</v>
      </c>
      <c r="B183" s="6" t="str">
        <f>IFERROR(__xludf.DUMMYFUNCTION("""COMPUTED_VALUE"""),"1230016112010101")</f>
        <v>1230016112010101</v>
      </c>
      <c r="C183" s="5" t="str">
        <f>IFERROR(__xludf.DUMMYFUNCTION("""COMPUTED_VALUE"""),"บะหมี่กึ่งสำเร็จรูป รสหมูสับ \บรรจุซอง 60 กรัม(แพ็ค 10 ซอง) \ ตรามาม่า")</f>
        <v>บะหมี่กึ่งสำเร็จรูป รสหมูสับ \บรรจุซอง 60 กรัม(แพ็ค 10 ซอง) \ ตรามาม่า</v>
      </c>
      <c r="D183" s="5">
        <f>IFERROR(__xludf.DUMMYFUNCTION("""COMPUTED_VALUE"""),3.0)</f>
        <v>3</v>
      </c>
      <c r="E183" s="5">
        <f>IFERROR(__xludf.DUMMYFUNCTION("""COMPUTED_VALUE"""),2.0)</f>
        <v>2</v>
      </c>
      <c r="F183" s="5">
        <f>IFERROR(__xludf.DUMMYFUNCTION("""COMPUTED_VALUE"""),8.850987101199E12)</f>
        <v>8850987101199</v>
      </c>
      <c r="G183" s="5" t="str">
        <f>IFERROR(__xludf.DUMMYFUNCTION("""COMPUTED_VALUE"""),"มาม่า หมูสับ 60g x10")</f>
        <v>มาม่า หมูสับ 60g x10</v>
      </c>
      <c r="H183" s="7">
        <f>IFERROR(__xludf.DUMMYFUNCTION("""COMPUTED_VALUE"""),65.0)</f>
        <v>65</v>
      </c>
      <c r="I183" s="7"/>
      <c r="J183" s="5"/>
    </row>
    <row r="184">
      <c r="A184" s="5">
        <f>IFERROR(__xludf.DUMMYFUNCTION("""COMPUTED_VALUE"""),1230016.0)</f>
        <v>1230016</v>
      </c>
      <c r="B184" s="6" t="str">
        <f>IFERROR(__xludf.DUMMYFUNCTION("""COMPUTED_VALUE"""),"1230016912020101")</f>
        <v>1230016912020101</v>
      </c>
      <c r="C184" s="5" t="str">
        <f>IFERROR(__xludf.DUMMYFUNCTION("""COMPUTED_VALUE"""),"บะหมี่กึ่งสำเร็จรูป ปรุงสำเร็จ \บรรจุซอง 57 กรัม (แพ็ค 10) \ตราไวไว")</f>
        <v>บะหมี่กึ่งสำเร็จรูป ปรุงสำเร็จ \บรรจุซอง 57 กรัม (แพ็ค 10) \ตราไวไว</v>
      </c>
      <c r="D184" s="5">
        <f>IFERROR(__xludf.DUMMYFUNCTION("""COMPUTED_VALUE"""),2.0)</f>
        <v>2</v>
      </c>
      <c r="E184" s="5">
        <f>IFERROR(__xludf.DUMMYFUNCTION("""COMPUTED_VALUE"""),3.0)</f>
        <v>3</v>
      </c>
      <c r="F184" s="5">
        <f>IFERROR(__xludf.DUMMYFUNCTION("""COMPUTED_VALUE"""),8.850100101211E12)</f>
        <v>8850100101211</v>
      </c>
      <c r="G184" s="5" t="str">
        <f>IFERROR(__xludf.DUMMYFUNCTION("""COMPUTED_VALUE"""),"ไวไว บะหมี่ปรุงสำเร็จ 57g x10")</f>
        <v>ไวไว บะหมี่ปรุงสำเร็จ 57g x10</v>
      </c>
      <c r="H184" s="7">
        <f>IFERROR(__xludf.DUMMYFUNCTION("""COMPUTED_VALUE"""),62.0)</f>
        <v>62</v>
      </c>
      <c r="I184" s="7"/>
      <c r="J184" s="5"/>
    </row>
    <row r="185">
      <c r="A185" s="5">
        <f>IFERROR(__xludf.DUMMYFUNCTION("""COMPUTED_VALUE"""),1230016.0)</f>
        <v>1230016</v>
      </c>
      <c r="B185" s="6" t="str">
        <f>IFERROR(__xludf.DUMMYFUNCTION("""COMPUTED_VALUE"""),"1230016112010401")</f>
        <v>1230016112010401</v>
      </c>
      <c r="C185" s="5" t="str">
        <f>IFERROR(__xludf.DUMMYFUNCTION("""COMPUTED_VALUE"""),"บะหมี่กึ่งสำเร็จรูป รสหมูสับ \บรรจุซอง 60 กรัม(แพ็ค 10 ซอง) \ ตรายำยำ จัมโบ้")</f>
        <v>บะหมี่กึ่งสำเร็จรูป รสหมูสับ \บรรจุซอง 60 กรัม(แพ็ค 10 ซอง) \ ตรายำยำ จัมโบ้</v>
      </c>
      <c r="D185" s="5">
        <f>IFERROR(__xludf.DUMMYFUNCTION("""COMPUTED_VALUE"""),1.0)</f>
        <v>1</v>
      </c>
      <c r="E185" s="5">
        <f>IFERROR(__xludf.DUMMYFUNCTION("""COMPUTED_VALUE"""),4.0)</f>
        <v>4</v>
      </c>
      <c r="F185" s="5">
        <f>IFERROR(__xludf.DUMMYFUNCTION("""COMPUTED_VALUE"""),8.85025000015E12)</f>
        <v>8850250000150</v>
      </c>
      <c r="G185" s="5" t="str">
        <f>IFERROR(__xludf.DUMMYFUNCTION("""COMPUTED_VALUE"""),"ยำยำจัมโบ้ หมูสับ 60g x10")</f>
        <v>ยำยำจัมโบ้ หมูสับ 60g x10</v>
      </c>
      <c r="H185" s="7">
        <f>IFERROR(__xludf.DUMMYFUNCTION("""COMPUTED_VALUE"""),60.0)</f>
        <v>60</v>
      </c>
      <c r="I185" s="7"/>
      <c r="J185" s="5"/>
    </row>
    <row r="186">
      <c r="A186" s="5">
        <f>IFERROR(__xludf.DUMMYFUNCTION("""COMPUTED_VALUE"""),1230017.0)</f>
        <v>1230017</v>
      </c>
      <c r="B186" s="6" t="str">
        <f>IFERROR(__xludf.DUMMYFUNCTION("""COMPUTED_VALUE"""),"1230017421010201")</f>
        <v>1230017421010201</v>
      </c>
      <c r="C186" s="5" t="str">
        <f>IFERROR(__xludf.DUMMYFUNCTION("""COMPUTED_VALUE"""),"ปลาแมคเคอเรลกระป๋อง ในซอสมะเขือเทศ กระป๋องทรงกลมสูง ฝาดึง \น้ำหนัก 155 กรัม \ ตราโรซ่า")</f>
        <v>ปลาแมคเคอเรลกระป๋อง ในซอสมะเขือเทศ กระป๋องทรงกลมสูง ฝาดึง \น้ำหนัก 155 กรัม \ ตราโรซ่า</v>
      </c>
      <c r="D186" s="5">
        <f>IFERROR(__xludf.DUMMYFUNCTION("""COMPUTED_VALUE"""),4.0)</f>
        <v>4</v>
      </c>
      <c r="E186" s="5">
        <f>IFERROR(__xludf.DUMMYFUNCTION("""COMPUTED_VALUE"""),1.0)</f>
        <v>1</v>
      </c>
      <c r="F186" s="5">
        <f>IFERROR(__xludf.DUMMYFUNCTION("""COMPUTED_VALUE"""),8.850511121181E12)</f>
        <v>8850511121181</v>
      </c>
      <c r="G186" s="5" t="str">
        <f>IFERROR(__xludf.DUMMYFUNCTION("""COMPUTED_VALUE"""),"โรซ่าปลาแมคเคอเรลในซอสมะเขือเทศฝาดึง155g")</f>
        <v>โรซ่าปลาแมคเคอเรลในซอสมะเขือเทศฝาดึง155g</v>
      </c>
      <c r="H186" s="7">
        <f>IFERROR(__xludf.DUMMYFUNCTION("""COMPUTED_VALUE"""),19.0)</f>
        <v>19</v>
      </c>
      <c r="I186" s="7"/>
      <c r="J186" s="5"/>
    </row>
    <row r="187">
      <c r="A187" s="5">
        <f>IFERROR(__xludf.DUMMYFUNCTION("""COMPUTED_VALUE"""),1230017.0)</f>
        <v>1230017</v>
      </c>
      <c r="B187" s="6" t="str">
        <f>IFERROR(__xludf.DUMMYFUNCTION("""COMPUTED_VALUE"""),"1230017411021201")</f>
        <v>1230017411021201</v>
      </c>
      <c r="C187" s="5" t="str">
        <f>IFERROR(__xludf.DUMMYFUNCTION("""COMPUTED_VALUE"""),"ปลาซาร์ดีนกระป๋อง ในซอสมะเขือเทศ กระป๋องทรงกลมสูง ฝาดึง \ น้ำหนัก 155 กรัม \ตราซูเปอร์ซี เชฟ")</f>
        <v>ปลาซาร์ดีนกระป๋อง ในซอสมะเขือเทศ กระป๋องทรงกลมสูง ฝาดึง \ น้ำหนัก 155 กรัม \ตราซูเปอร์ซี เชฟ</v>
      </c>
      <c r="D187" s="5">
        <f>IFERROR(__xludf.DUMMYFUNCTION("""COMPUTED_VALUE"""),1.0)</f>
        <v>1</v>
      </c>
      <c r="E187" s="5">
        <f>IFERROR(__xludf.DUMMYFUNCTION("""COMPUTED_VALUE"""),2.0)</f>
        <v>2</v>
      </c>
      <c r="F187" s="5"/>
      <c r="G187" s="5" t="str">
        <f>IFERROR(__xludf.DUMMYFUNCTION("""COMPUTED_VALUE"""),"ซูเปอร์ซีเชฟซาร์ดีนซอสมะเขือเทศฝาดึง155g")</f>
        <v>ซูเปอร์ซีเชฟซาร์ดีนซอสมะเขือเทศฝาดึง155g</v>
      </c>
      <c r="H187" s="7">
        <f>IFERROR(__xludf.DUMMYFUNCTION("""COMPUTED_VALUE"""),18.0)</f>
        <v>18</v>
      </c>
      <c r="I187" s="7"/>
      <c r="J187" s="5"/>
    </row>
    <row r="188">
      <c r="A188" s="5">
        <f>IFERROR(__xludf.DUMMYFUNCTION("""COMPUTED_VALUE"""),1230017.0)</f>
        <v>1230017</v>
      </c>
      <c r="B188" s="6" t="str">
        <f>IFERROR(__xludf.DUMMYFUNCTION("""COMPUTED_VALUE"""),"1230017421010701")</f>
        <v>1230017421010701</v>
      </c>
      <c r="C188" s="5" t="str">
        <f>IFERROR(__xludf.DUMMYFUNCTION("""COMPUTED_VALUE"""),"ปลาแมคเคอเรลกระป๋อง ในซอสมะเขือเทศ กระป๋องทรงกลมสูง ฝาดึง \น้ำหนัก 155 กรัม \ ตราซูเปอร์ซีเซฟ")</f>
        <v>ปลาแมคเคอเรลกระป๋อง ในซอสมะเขือเทศ กระป๋องทรงกลมสูง ฝาดึง \น้ำหนัก 155 กรัม \ ตราซูเปอร์ซีเซฟ</v>
      </c>
      <c r="D188" s="5">
        <f>IFERROR(__xludf.DUMMYFUNCTION("""COMPUTED_VALUE"""),1.0)</f>
        <v>1</v>
      </c>
      <c r="E188" s="5">
        <f>IFERROR(__xludf.DUMMYFUNCTION("""COMPUTED_VALUE"""),3.0)</f>
        <v>3</v>
      </c>
      <c r="F188" s="5"/>
      <c r="G188" s="5" t="str">
        <f>IFERROR(__xludf.DUMMYFUNCTION("""COMPUTED_VALUE"""),"ซูเปอร์ซีเชฟแมคฯซอสมะเขือเทศฝาดึง155g")</f>
        <v>ซูเปอร์ซีเชฟแมคฯซอสมะเขือเทศฝาดึง155g</v>
      </c>
      <c r="H188" s="7">
        <f>IFERROR(__xludf.DUMMYFUNCTION("""COMPUTED_VALUE"""),18.0)</f>
        <v>18</v>
      </c>
      <c r="I188" s="7"/>
      <c r="J188" s="5"/>
    </row>
    <row r="189">
      <c r="A189" s="5">
        <f>IFERROR(__xludf.DUMMYFUNCTION("""COMPUTED_VALUE"""),1230017.0)</f>
        <v>1230017</v>
      </c>
      <c r="B189" s="6" t="str">
        <f>IFERROR(__xludf.DUMMYFUNCTION("""COMPUTED_VALUE"""),"1230017421010901")</f>
        <v>1230017421010901</v>
      </c>
      <c r="C189" s="5" t="str">
        <f>IFERROR(__xludf.DUMMYFUNCTION("""COMPUTED_VALUE"""),"ปลาแมคเคอเรลกระป๋อง ในซอสมะเขือเทศ กระป๋องทรงกลมสูง ฝาดึง \น้ำหนัก 155 กรัม \ ตราซีเล็ค")</f>
        <v>ปลาแมคเคอเรลกระป๋อง ในซอสมะเขือเทศ กระป๋องทรงกลมสูง ฝาดึง \น้ำหนัก 155 กรัม \ ตราซีเล็ค</v>
      </c>
      <c r="D189" s="5">
        <f>IFERROR(__xludf.DUMMYFUNCTION("""COMPUTED_VALUE"""),1.0)</f>
        <v>1</v>
      </c>
      <c r="E189" s="5">
        <f>IFERROR(__xludf.DUMMYFUNCTION("""COMPUTED_VALUE"""),4.0)</f>
        <v>4</v>
      </c>
      <c r="F189" s="5"/>
      <c r="G189" s="5" t="str">
        <f>IFERROR(__xludf.DUMMYFUNCTION("""COMPUTED_VALUE"""),"ซีเล็คปลาแมคเคอเรลในซอสมะเขือเทศ155g")</f>
        <v>ซีเล็คปลาแมคเคอเรลในซอสมะเขือเทศ155g</v>
      </c>
      <c r="H189" s="7">
        <f>IFERROR(__xludf.DUMMYFUNCTION("""COMPUTED_VALUE"""),18.0)</f>
        <v>18</v>
      </c>
      <c r="I189" s="7"/>
      <c r="J189" s="5"/>
    </row>
    <row r="190">
      <c r="A190" s="5">
        <f>IFERROR(__xludf.DUMMYFUNCTION("""COMPUTED_VALUE"""),2113004.0)</f>
        <v>2113004</v>
      </c>
      <c r="B190" s="6" t="str">
        <f>IFERROR(__xludf.DUMMYFUNCTION("""COMPUTED_VALUE"""),"2113004121018180")</f>
        <v>2113004121018180</v>
      </c>
      <c r="C190" s="5" t="str">
        <f>IFERROR(__xludf.DUMMYFUNCTION("""COMPUTED_VALUE"""),"เสื้อยืดบุรุษ แขนสั้น คุณภาพปานกลาง สีต่าง ๆ คอโปโล ไม่มีลวดลาย\ ตรา UNO")</f>
        <v>เสื้อยืดบุรุษ แขนสั้น คุณภาพปานกลาง สีต่าง ๆ คอโปโล ไม่มีลวดลาย\ ตรา UNO</v>
      </c>
      <c r="D190" s="5">
        <f>IFERROR(__xludf.DUMMYFUNCTION("""COMPUTED_VALUE"""),1.0)</f>
        <v>1</v>
      </c>
      <c r="E190" s="5">
        <f>IFERROR(__xludf.DUMMYFUNCTION("""COMPUTED_VALUE"""),1.0)</f>
        <v>1</v>
      </c>
      <c r="F190" s="5">
        <f>IFERROR(__xludf.DUMMYFUNCTION("""COMPUTED_VALUE"""),9.999990178183E12)</f>
        <v>9999990178183</v>
      </c>
      <c r="G190" s="5" t="str">
        <f>IFERROR(__xludf.DUMMYFUNCTION("""COMPUTED_VALUE"""),"PM_UNOเสื้อยืดสีขาวsize M")</f>
        <v>PM_UNOเสื้อยืดสีขาวsize M</v>
      </c>
      <c r="H190" s="7">
        <f>IFERROR(__xludf.DUMMYFUNCTION("""COMPUTED_VALUE"""),169.0)</f>
        <v>169</v>
      </c>
      <c r="I190" s="7"/>
      <c r="J190" s="5"/>
    </row>
    <row r="191">
      <c r="A191" s="5">
        <f>IFERROR(__xludf.DUMMYFUNCTION("""COMPUTED_VALUE"""),2113005.0)</f>
        <v>2113005</v>
      </c>
      <c r="B191" s="6" t="str">
        <f>IFERROR(__xludf.DUMMYFUNCTION("""COMPUTED_VALUE"""),"2113005111010101")</f>
        <v>2113005111010101</v>
      </c>
      <c r="C191" s="5" t="str">
        <f>IFERROR(__xludf.DUMMYFUNCTION("""COMPUTED_VALUE"""),"เสื้อกล้าม ขนาดผู้ใหญ่ คอกลม ไม่มีแขน สีขาว คุณภาพดี เบอร์ 38\ ตราห่านคู่")</f>
        <v>เสื้อกล้าม ขนาดผู้ใหญ่ คอกลม ไม่มีแขน สีขาว คุณภาพดี เบอร์ 38\ ตราห่านคู่</v>
      </c>
      <c r="D191" s="5">
        <f>IFERROR(__xludf.DUMMYFUNCTION("""COMPUTED_VALUE"""),1.0)</f>
        <v>1</v>
      </c>
      <c r="E191" s="5">
        <f>IFERROR(__xludf.DUMMYFUNCTION("""COMPUTED_VALUE"""),1.0)</f>
        <v>1</v>
      </c>
      <c r="F191" s="5">
        <f>IFERROR(__xludf.DUMMYFUNCTION("""COMPUTED_VALUE"""),8.858729687666E12)</f>
        <v>8858729687666</v>
      </c>
      <c r="G191" s="5" t="str">
        <f>IFERROR(__xludf.DUMMYFUNCTION("""COMPUTED_VALUE"""),"ห่านคู่เสื้อกล้ามสีขาวไซส์L")</f>
        <v>ห่านคู่เสื้อกล้ามสีขาวไซส์L</v>
      </c>
      <c r="H191" s="7">
        <f>IFERROR(__xludf.DUMMYFUNCTION("""COMPUTED_VALUE"""),135.0)</f>
        <v>135</v>
      </c>
      <c r="I191" s="7"/>
      <c r="J191" s="5"/>
    </row>
    <row r="192">
      <c r="A192" s="5">
        <f>IFERROR(__xludf.DUMMYFUNCTION("""COMPUTED_VALUE"""),2114002.0)</f>
        <v>2114002</v>
      </c>
      <c r="B192" s="6" t="str">
        <f>IFERROR(__xludf.DUMMYFUNCTION("""COMPUTED_VALUE"""),"2114002111010201")</f>
        <v>2114002111010201</v>
      </c>
      <c r="C192" s="5" t="str">
        <f>IFERROR(__xludf.DUMMYFUNCTION("""COMPUTED_VALUE"""),"กางเกงชั้นในบุรุษ แบบเต็มตัว ผ้าใยสังเคราะห์ คุณภาพดี \ ตรา ROSSO")</f>
        <v>กางเกงชั้นในบุรุษ แบบเต็มตัว ผ้าใยสังเคราะห์ คุณภาพดี \ ตรา ROSSO</v>
      </c>
      <c r="D192" s="5">
        <f>IFERROR(__xludf.DUMMYFUNCTION("""COMPUTED_VALUE"""),1.0)</f>
        <v>1</v>
      </c>
      <c r="E192" s="5">
        <f>IFERROR(__xludf.DUMMYFUNCTION("""COMPUTED_VALUE"""),1.0)</f>
        <v>1</v>
      </c>
      <c r="F192" s="5">
        <f>IFERROR(__xludf.DUMMYFUNCTION("""COMPUTED_VALUE"""),8.851722051007E12)</f>
        <v>8851722051007</v>
      </c>
      <c r="G192" s="5" t="str">
        <f>IFERROR(__xludf.DUMMYFUNCTION("""COMPUTED_VALUE"""),"PM_Rosso กางเกงในชายขอบยาง size L Piece")</f>
        <v>PM_Rosso กางเกงในชายขอบยาง size L Piece</v>
      </c>
      <c r="H192" s="7">
        <f>IFERROR(__xludf.DUMMYFUNCTION("""COMPUTED_VALUE"""),69.0)</f>
        <v>69</v>
      </c>
      <c r="I192" s="7"/>
      <c r="J192" s="5"/>
    </row>
    <row r="193">
      <c r="A193" s="5">
        <f>IFERROR(__xludf.DUMMYFUNCTION("""COMPUTED_VALUE"""),2123002.0)</f>
        <v>2123002</v>
      </c>
      <c r="B193" s="6" t="str">
        <f>IFERROR(__xludf.DUMMYFUNCTION("""COMPUTED_VALUE"""),"2123002121014680")</f>
        <v>2123002121014680</v>
      </c>
      <c r="C193" s="5" t="str">
        <f>IFERROR(__xludf.DUMMYFUNCTION("""COMPUTED_VALUE"""),"เสื้อยืดสตรี แขนสั้น คอกลม หรือคอปาด แบบตามสมัยนิยม คุณภาพปานกลาง ตราห่านคู่")</f>
        <v>เสื้อยืดสตรี แขนสั้น คอกลม หรือคอปาด แบบตามสมัยนิยม คุณภาพปานกลาง ตราห่านคู่</v>
      </c>
      <c r="D193" s="5">
        <f>IFERROR(__xludf.DUMMYFUNCTION("""COMPUTED_VALUE"""),1.0)</f>
        <v>1</v>
      </c>
      <c r="E193" s="5">
        <f>IFERROR(__xludf.DUMMYFUNCTION("""COMPUTED_VALUE"""),1.0)</f>
        <v>1</v>
      </c>
      <c r="F193" s="5">
        <f>IFERROR(__xludf.DUMMYFUNCTION("""COMPUTED_VALUE"""),8.858729603086E12)</f>
        <v>8858729603086</v>
      </c>
      <c r="G193" s="5" t="str">
        <f>IFERROR(__xludf.DUMMYFUNCTION("""COMPUTED_VALUE"""),"CP2_ห่านคู่ เสื้อคอกลมสีขาว ไซส์L")</f>
        <v>CP2_ห่านคู่ เสื้อคอกลมสีขาว ไซส์L</v>
      </c>
      <c r="H193" s="7"/>
      <c r="I193" s="7"/>
      <c r="J193" s="5"/>
    </row>
    <row r="194">
      <c r="A194" s="5">
        <f>IFERROR(__xludf.DUMMYFUNCTION("""COMPUTED_VALUE"""),3600001.0)</f>
        <v>3600001</v>
      </c>
      <c r="B194" s="6" t="str">
        <f>IFERROR(__xludf.DUMMYFUNCTION("""COMPUTED_VALUE"""),"3600001211020503")</f>
        <v>3600001211020503</v>
      </c>
      <c r="C194" s="5" t="str">
        <f>IFERROR(__xludf.DUMMYFUNCTION("""COMPUTED_VALUE"""),"ผลิตภัณฑ์ซักผ้า (น้ำยาซักแห้ง) ชนิดน้ำ บรรจุถุงพลาสติก (รีฟิว) ขนาด 400 ม.ล. ตราไฟน์ไลน์ กลิ่นsunny gold ลดกลิ่นอับชื้น")</f>
        <v>ผลิตภัณฑ์ซักผ้า (น้ำยาซักแห้ง) ชนิดน้ำ บรรจุถุงพลาสติก (รีฟิว) ขนาด 400 ม.ล. ตราไฟน์ไลน์ กลิ่นsunny gold ลดกลิ่นอับชื้น</v>
      </c>
      <c r="D194" s="5">
        <f>IFERROR(__xludf.DUMMYFUNCTION("""COMPUTED_VALUE"""),2.0)</f>
        <v>2</v>
      </c>
      <c r="E194" s="5">
        <f>IFERROR(__xludf.DUMMYFUNCTION("""COMPUTED_VALUE"""),1.0)</f>
        <v>1</v>
      </c>
      <c r="F194" s="5">
        <f>IFERROR(__xludf.DUMMYFUNCTION("""COMPUTED_VALUE"""),8.85198903328E12)</f>
        <v>8851989033280</v>
      </c>
      <c r="G194" s="5" t="str">
        <f>IFERROR(__xludf.DUMMYFUNCTION("""COMPUTED_VALUE"""),"ไฟน์ไลน์น้ำยาซักผ้าสีทอง400ml")</f>
        <v>ไฟน์ไลน์น้ำยาซักผ้าสีทอง400ml</v>
      </c>
      <c r="H194" s="7">
        <f>IFERROR(__xludf.DUMMYFUNCTION("""COMPUTED_VALUE"""),74.0)</f>
        <v>74</v>
      </c>
      <c r="I194" s="7">
        <f>IFERROR(__xludf.DUMMYFUNCTION("""COMPUTED_VALUE"""),38.0)</f>
        <v>38</v>
      </c>
      <c r="J194" s="5"/>
    </row>
    <row r="195">
      <c r="A195" s="5">
        <f>IFERROR(__xludf.DUMMYFUNCTION("""COMPUTED_VALUE"""),3600001.0)</f>
        <v>3600001</v>
      </c>
      <c r="B195" s="6" t="str">
        <f>IFERROR(__xludf.DUMMYFUNCTION("""COMPUTED_VALUE"""),"3600001111020109")</f>
        <v>3600001111020109</v>
      </c>
      <c r="C195" s="5" t="str">
        <f>IFERROR(__xludf.DUMMYFUNCTION("""COMPUTED_VALUE"""),"ผงซักฟอกซักด้วยมือและเครื่อง บรรจุถุงพลาสติก \ ขนาด 1,300 กรัม \ ตราบรีสเอ็กเซล อัพเกรด ขจัดไวรัส 99.99% และลดแบคทีเรีย")</f>
        <v>ผงซักฟอกซักด้วยมือและเครื่อง บรรจุถุงพลาสติก \ ขนาด 1,300 กรัม \ ตราบรีสเอ็กเซล อัพเกรด ขจัดไวรัส 99.99% และลดแบคทีเรีย</v>
      </c>
      <c r="D195" s="5">
        <f>IFERROR(__xludf.DUMMYFUNCTION("""COMPUTED_VALUE"""),2.0)</f>
        <v>2</v>
      </c>
      <c r="E195" s="5">
        <f>IFERROR(__xludf.DUMMYFUNCTION("""COMPUTED_VALUE"""),2.0)</f>
        <v>2</v>
      </c>
      <c r="F195" s="5">
        <f>IFERROR(__xludf.DUMMYFUNCTION("""COMPUTED_VALUE"""),8.851932377478E12)</f>
        <v>8851932377478</v>
      </c>
      <c r="G195" s="5" t="str">
        <f>IFERROR(__xludf.DUMMYFUNCTION("""COMPUTED_VALUE"""),"บรีสเอกเซลผงซักฟอกเข้มข้นเขียว1300g")</f>
        <v>บรีสเอกเซลผงซักฟอกเข้มข้นเขียว1300g</v>
      </c>
      <c r="H195" s="7">
        <f>IFERROR(__xludf.DUMMYFUNCTION("""COMPUTED_VALUE"""),149.0)</f>
        <v>149</v>
      </c>
      <c r="I195" s="7"/>
      <c r="J195" s="5"/>
    </row>
    <row r="196">
      <c r="A196" s="5">
        <f>IFERROR(__xludf.DUMMYFUNCTION("""COMPUTED_VALUE"""),3600001.0)</f>
        <v>3600001</v>
      </c>
      <c r="B196" s="6" t="str">
        <f>IFERROR(__xludf.DUMMYFUNCTION("""COMPUTED_VALUE"""),"3600001211020404")</f>
        <v>3600001211020404</v>
      </c>
      <c r="C196" s="5" t="str">
        <f>IFERROR(__xludf.DUMMYFUNCTION("""COMPUTED_VALUE"""),"ผลิตภัณฑ์ซักผ้า (น้ำยาซักแห้ง) ชนิดน้ำ บรรจุถุงพลาสติก (รีฟิว) ขนาด 400 ม.ล. ตราเอสเซนต์ เดลี่แคร์ สูตรลดกลิ่นอับ กลิ่น Floral")</f>
        <v>ผลิตภัณฑ์ซักผ้า (น้ำยาซักแห้ง) ชนิดน้ำ บรรจุถุงพลาสติก (รีฟิว) ขนาด 400 ม.ล. ตราเอสเซนต์ เดลี่แคร์ สูตรลดกลิ่นอับ กลิ่น Floral</v>
      </c>
      <c r="D196" s="5">
        <f>IFERROR(__xludf.DUMMYFUNCTION("""COMPUTED_VALUE"""),2.0)</f>
        <v>2</v>
      </c>
      <c r="E196" s="5">
        <f>IFERROR(__xludf.DUMMYFUNCTION("""COMPUTED_VALUE"""),3.0)</f>
        <v>3</v>
      </c>
      <c r="F196" s="5">
        <f>IFERROR(__xludf.DUMMYFUNCTION("""COMPUTED_VALUE"""),8.850002011946E12)</f>
        <v>8850002011946</v>
      </c>
      <c r="G196" s="5" t="str">
        <f>IFERROR(__xludf.DUMMYFUNCTION("""COMPUTED_VALUE"""),"เอสเซ้นส์ซักผ้าชมพู400ml")</f>
        <v>เอสเซ้นส์ซักผ้าชมพู400ml</v>
      </c>
      <c r="H196" s="7">
        <f>IFERROR(__xludf.DUMMYFUNCTION("""COMPUTED_VALUE"""),69.0)</f>
        <v>69</v>
      </c>
      <c r="I196" s="7"/>
      <c r="J196" s="5"/>
    </row>
    <row r="197">
      <c r="A197" s="5">
        <f>IFERROR(__xludf.DUMMYFUNCTION("""COMPUTED_VALUE"""),3600001.0)</f>
        <v>3600001</v>
      </c>
      <c r="B197" s="6" t="str">
        <f>IFERROR(__xludf.DUMMYFUNCTION("""COMPUTED_VALUE"""),"3600001211150402")</f>
        <v>3600001211150402</v>
      </c>
      <c r="C197" s="5" t="str">
        <f>IFERROR(__xludf.DUMMYFUNCTION("""COMPUTED_VALUE"""),"ผลิตภัณฑ์ซักผ้า (น้ำยาซักแห้ง) ชนิดน้ำ บรรจุถุงพลาสติก (รีฟิว) ขนาด 700 ม.ล. ตราไฟน์ไลน์ ดีลักซ์ เฟอร์ฟูม มิดไนท์ แฟนซี")</f>
        <v>ผลิตภัณฑ์ซักผ้า (น้ำยาซักแห้ง) ชนิดน้ำ บรรจุถุงพลาสติก (รีฟิว) ขนาด 700 ม.ล. ตราไฟน์ไลน์ ดีลักซ์ เฟอร์ฟูม มิดไนท์ แฟนซี</v>
      </c>
      <c r="D197" s="5">
        <f>IFERROR(__xludf.DUMMYFUNCTION("""COMPUTED_VALUE"""),2.0)</f>
        <v>2</v>
      </c>
      <c r="E197" s="5">
        <f>IFERROR(__xludf.DUMMYFUNCTION("""COMPUTED_VALUE"""),4.0)</f>
        <v>4</v>
      </c>
      <c r="F197" s="5">
        <f>IFERROR(__xludf.DUMMYFUNCTION("""COMPUTED_VALUE"""),8.851989033143E12)</f>
        <v>8851989033143</v>
      </c>
      <c r="G197" s="5" t="str">
        <f>IFERROR(__xludf.DUMMYFUNCTION("""COMPUTED_VALUE"""),"ไฟน์ไลน์ซักผ้าเข้มข้นสีดำ700ml")</f>
        <v>ไฟน์ไลน์ซักผ้าเข้มข้นสีดำ700ml</v>
      </c>
      <c r="H197" s="7">
        <f>IFERROR(__xludf.DUMMYFUNCTION("""COMPUTED_VALUE"""),89.0)</f>
        <v>89</v>
      </c>
      <c r="I197" s="7">
        <f>IFERROR(__xludf.DUMMYFUNCTION("""COMPUTED_VALUE"""),49.0)</f>
        <v>49</v>
      </c>
      <c r="J197" s="5"/>
    </row>
    <row r="198">
      <c r="A198" s="5">
        <f>IFERROR(__xludf.DUMMYFUNCTION("""COMPUTED_VALUE"""),3600001.0)</f>
        <v>3600001</v>
      </c>
      <c r="B198" s="6" t="str">
        <f>IFERROR(__xludf.DUMMYFUNCTION("""COMPUTED_VALUE"""),"3600001123320201")</f>
        <v>3600001123320201</v>
      </c>
      <c r="C198" s="5" t="str">
        <f>IFERROR(__xludf.DUMMYFUNCTION("""COMPUTED_VALUE"""),"ผงซักฟอกซักด้วยมือ บรรจุถุงพลาสติก \ ขนาด 400 กรัม \ ตราเปา ซอฟนาโนเทค")</f>
        <v>ผงซักฟอกซักด้วยมือ บรรจุถุงพลาสติก \ ขนาด 400 กรัม \ ตราเปา ซอฟนาโนเทค</v>
      </c>
      <c r="D198" s="5">
        <f>IFERROR(__xludf.DUMMYFUNCTION("""COMPUTED_VALUE"""),1.0)</f>
        <v>1</v>
      </c>
      <c r="E198" s="5">
        <f>IFERROR(__xludf.DUMMYFUNCTION("""COMPUTED_VALUE"""),5.0)</f>
        <v>5</v>
      </c>
      <c r="F198" s="5"/>
      <c r="G198" s="5" t="str">
        <f>IFERROR(__xludf.DUMMYFUNCTION("""COMPUTED_VALUE"""),"เปาผงซักฟอกซอฟท์400g")</f>
        <v>เปาผงซักฟอกซอฟท์400g</v>
      </c>
      <c r="H198" s="7">
        <f>IFERROR(__xludf.DUMMYFUNCTION("""COMPUTED_VALUE"""),20.0)</f>
        <v>20</v>
      </c>
      <c r="I198" s="7"/>
      <c r="J198" s="5"/>
    </row>
    <row r="199">
      <c r="A199" s="5">
        <f>IFERROR(__xludf.DUMMYFUNCTION("""COMPUTED_VALUE"""),3600001.0)</f>
        <v>3600001</v>
      </c>
      <c r="B199" s="6" t="str">
        <f>IFERROR(__xludf.DUMMYFUNCTION("""COMPUTED_VALUE"""),"3600001211150301")</f>
        <v>3600001211150301</v>
      </c>
      <c r="C199" s="5" t="str">
        <f>IFERROR(__xludf.DUMMYFUNCTION("""COMPUTED_VALUE"""),"ผลิตภัณฑ์ซักผ้า (น้ำยาซักแห้ง) ชนิดน้ำ บรรจุถุงพลาสติก (รีฟิว) ขนาด 700 ม.ล. ตราโอโม พลัส กลิ่น ซากุระเฟรช")</f>
        <v>ผลิตภัณฑ์ซักผ้า (น้ำยาซักแห้ง) ชนิดน้ำ บรรจุถุงพลาสติก (รีฟิว) ขนาด 700 ม.ล. ตราโอโม พลัส กลิ่น ซากุระเฟรช</v>
      </c>
      <c r="D199" s="5">
        <f>IFERROR(__xludf.DUMMYFUNCTION("""COMPUTED_VALUE"""),1.0)</f>
        <v>1</v>
      </c>
      <c r="E199" s="5">
        <f>IFERROR(__xludf.DUMMYFUNCTION("""COMPUTED_VALUE"""),6.0)</f>
        <v>6</v>
      </c>
      <c r="F199" s="5"/>
      <c r="G199" s="5" t="str">
        <f>IFERROR(__xludf.DUMMYFUNCTION("""COMPUTED_VALUE"""),"PM_โอโมพลัสซักผ้าเข้มข้นซากุระ700ml2+1")</f>
        <v>PM_โอโมพลัสซักผ้าเข้มข้นซากุระ700ml2+1</v>
      </c>
      <c r="H199" s="7"/>
      <c r="I199" s="7"/>
      <c r="J199" s="5"/>
    </row>
    <row r="200">
      <c r="A200" s="5">
        <f>IFERROR(__xludf.DUMMYFUNCTION("""COMPUTED_VALUE"""),3600001.0)</f>
        <v>3600001</v>
      </c>
      <c r="B200" s="6" t="str">
        <f>IFERROR(__xludf.DUMMYFUNCTION("""COMPUTED_VALUE"""),"3600001111160310")</f>
        <v>3600001111160310</v>
      </c>
      <c r="C200" s="5" t="str">
        <f>IFERROR(__xludf.DUMMYFUNCTION("""COMPUTED_VALUE"""),"ผงซักฟอก ชนิดซักด้วยมือและเครื่อง บรรจุถุงพลาสติก \ ขนาด 800 กรัม \ตราโอโม สะอาด หอม สดใส ซักแค่ 1 ครั้ง")</f>
        <v>ผงซักฟอก ชนิดซักด้วยมือและเครื่อง บรรจุถุงพลาสติก \ ขนาด 800 กรัม \ตราโอโม สะอาด หอม สดใส ซักแค่ 1 ครั้ง</v>
      </c>
      <c r="D200" s="5">
        <f>IFERROR(__xludf.DUMMYFUNCTION("""COMPUTED_VALUE"""),1.0)</f>
        <v>1</v>
      </c>
      <c r="E200" s="5">
        <f>IFERROR(__xludf.DUMMYFUNCTION("""COMPUTED_VALUE"""),7.0)</f>
        <v>7</v>
      </c>
      <c r="F200" s="5"/>
      <c r="G200" s="5" t="str">
        <f>IFERROR(__xludf.DUMMYFUNCTION("""COMPUTED_VALUE"""),"โอโมผงซักฟอกมาตรฐาน800g")</f>
        <v>โอโมผงซักฟอกมาตรฐาน800g</v>
      </c>
      <c r="H200" s="7">
        <f>IFERROR(__xludf.DUMMYFUNCTION("""COMPUTED_VALUE"""),55.0)</f>
        <v>55</v>
      </c>
      <c r="I200" s="7"/>
      <c r="J200" s="5"/>
    </row>
    <row r="201">
      <c r="A201" s="5">
        <f>IFERROR(__xludf.DUMMYFUNCTION("""COMPUTED_VALUE"""),3600001.0)</f>
        <v>3600001</v>
      </c>
      <c r="B201" s="6" t="str">
        <f>IFERROR(__xludf.DUMMYFUNCTION("""COMPUTED_VALUE"""),"3600001111160509")</f>
        <v>3600001111160509</v>
      </c>
      <c r="C201" s="5" t="str">
        <f>IFERROR(__xludf.DUMMYFUNCTION("""COMPUTED_VALUE"""),"ผงซักฟอก ชนิดซักด้วยมือและเครื่อง บรรจุถุงพลาสติก \ ขนาด 800 กรัม \ตราแอทแทคอี่ซี่ แฮ๊บปี้สวิท")</f>
        <v>ผงซักฟอก ชนิดซักด้วยมือและเครื่อง บรรจุถุงพลาสติก \ ขนาด 800 กรัม \ตราแอทแทคอี่ซี่ แฮ๊บปี้สวิท</v>
      </c>
      <c r="D201" s="5">
        <f>IFERROR(__xludf.DUMMYFUNCTION("""COMPUTED_VALUE"""),1.0)</f>
        <v>1</v>
      </c>
      <c r="E201" s="5">
        <f>IFERROR(__xludf.DUMMYFUNCTION("""COMPUTED_VALUE"""),8.0)</f>
        <v>8</v>
      </c>
      <c r="F201" s="5"/>
      <c r="G201" s="5" t="str">
        <f>IFERROR(__xludf.DUMMYFUNCTION("""COMPUTED_VALUE"""),"แอทแทคอีซี่ผงซักฟอกแฮปปี้สวีท800g")</f>
        <v>แอทแทคอีซี่ผงซักฟอกแฮปปี้สวีท800g</v>
      </c>
      <c r="H201" s="7">
        <f>IFERROR(__xludf.DUMMYFUNCTION("""COMPUTED_VALUE"""),57.0)</f>
        <v>57</v>
      </c>
      <c r="I201" s="7">
        <f>IFERROR(__xludf.DUMMYFUNCTION("""COMPUTED_VALUE"""),45.0)</f>
        <v>45</v>
      </c>
      <c r="J201" s="5" t="str">
        <f>IFERROR(__xludf.DUMMYFUNCTION("""COMPUTED_VALUE"""),"PROMOTION MAIL (รอบ 25 ก.ย. - 24 ต.ค. 69)")</f>
        <v>PROMOTION MAIL (รอบ 25 ก.ย. - 24 ต.ค. 69)</v>
      </c>
    </row>
    <row r="202">
      <c r="A202" s="5">
        <f>IFERROR(__xludf.DUMMYFUNCTION("""COMPUTED_VALUE"""),3600001.0)</f>
        <v>3600001</v>
      </c>
      <c r="B202" s="6" t="str">
        <f>IFERROR(__xludf.DUMMYFUNCTION("""COMPUTED_VALUE"""),"3600001111320104")</f>
        <v>3600001111320104</v>
      </c>
      <c r="C202" s="5" t="str">
        <f>IFERROR(__xludf.DUMMYFUNCTION("""COMPUTED_VALUE"""),"ผงซักฟอกซักด้วยมือและเครื่อง บรรจุถุงพลาสติก\ขนาด1700 กรัม ตราแอทแทค 3D คลีนแอ็คชั่น ขาวสะอาด ขจีดคราบ ยับยิ้งกลิ่นเหงื่อบนผ้า ระหว่างวันและกลิ่นอับ")</f>
        <v>ผงซักฟอกซักด้วยมือและเครื่อง บรรจุถุงพลาสติก\ขนาด1700 กรัม ตราแอทแทค 3D คลีนแอ็คชั่น ขาวสะอาด ขจีดคราบ ยับยิ้งกลิ่นเหงื่อบนผ้า ระหว่างวันและกลิ่นอับ</v>
      </c>
      <c r="D202" s="5">
        <f>IFERROR(__xludf.DUMMYFUNCTION("""COMPUTED_VALUE"""),1.0)</f>
        <v>1</v>
      </c>
      <c r="E202" s="5">
        <f>IFERROR(__xludf.DUMMYFUNCTION("""COMPUTED_VALUE"""),10.0)</f>
        <v>10</v>
      </c>
      <c r="F202" s="5"/>
      <c r="G202" s="5" t="str">
        <f>IFERROR(__xludf.DUMMYFUNCTION("""COMPUTED_VALUE"""),"PM_แอทแทค3Dคลีนแอ็คชั่น1700g")</f>
        <v>PM_แอทแทค3Dคลีนแอ็คชั่น1700g</v>
      </c>
      <c r="H202" s="7">
        <f>IFERROR(__xludf.DUMMYFUNCTION("""COMPUTED_VALUE"""),174.0)</f>
        <v>174</v>
      </c>
      <c r="I202" s="7"/>
      <c r="J202" s="5"/>
    </row>
    <row r="203">
      <c r="A203" s="5">
        <f>IFERROR(__xludf.DUMMYFUNCTION("""COMPUTED_VALUE"""),3600001.0)</f>
        <v>3600001</v>
      </c>
      <c r="B203" s="6" t="str">
        <f>IFERROR(__xludf.DUMMYFUNCTION("""COMPUTED_VALUE"""),"3600001111520401")</f>
        <v>3600001111520401</v>
      </c>
      <c r="C203" s="5" t="str">
        <f>IFERROR(__xludf.DUMMYFUNCTION("""COMPUTED_VALUE"""),"ผงซักฟอกซักด้วยมือและเครื่อง บรรจุถุงพลาสติก ขนาด 750 กรัม ตรา บรีสเอ็กเซล ขจัดไวรัส 99.99% และลดแบคทีเรีย")</f>
        <v>ผงซักฟอกซักด้วยมือและเครื่อง บรรจุถุงพลาสติก ขนาด 750 กรัม ตรา บรีสเอ็กเซล ขจัดไวรัส 99.99% และลดแบคทีเรีย</v>
      </c>
      <c r="D203" s="5">
        <f>IFERROR(__xludf.DUMMYFUNCTION("""COMPUTED_VALUE"""),1.0)</f>
        <v>1</v>
      </c>
      <c r="E203" s="5">
        <f>IFERROR(__xludf.DUMMYFUNCTION("""COMPUTED_VALUE"""),11.0)</f>
        <v>11</v>
      </c>
      <c r="F203" s="5"/>
      <c r="G203" s="5" t="str">
        <f>IFERROR(__xludf.DUMMYFUNCTION("""COMPUTED_VALUE"""),"PM_บรีสเอกเซลผงซักฟอกเข้มข้นเขีย750/850")</f>
        <v>PM_บรีสเอกเซลผงซักฟอกเข้มข้นเขีย750/850</v>
      </c>
      <c r="H203" s="7">
        <f>IFERROR(__xludf.DUMMYFUNCTION("""COMPUTED_VALUE"""),99.0)</f>
        <v>99</v>
      </c>
      <c r="I203" s="7"/>
      <c r="J203" s="5"/>
    </row>
    <row r="204">
      <c r="A204" s="5">
        <f>IFERROR(__xludf.DUMMYFUNCTION("""COMPUTED_VALUE"""),3600001.0)</f>
        <v>3600001</v>
      </c>
      <c r="B204" s="6" t="str">
        <f>IFERROR(__xludf.DUMMYFUNCTION("""COMPUTED_VALUE"""),"3600001123300102")</f>
        <v>3600001123300102</v>
      </c>
      <c r="C204" s="5" t="str">
        <f>IFERROR(__xludf.DUMMYFUNCTION("""COMPUTED_VALUE"""),"ผงซักฟอก ชนิดซักด้วยมือ บรรจุถุงพลาสติก\ ขนาด 900 กรัม \ตราเปา ซอพท์")</f>
        <v>ผงซักฟอก ชนิดซักด้วยมือ บรรจุถุงพลาสติก\ ขนาด 900 กรัม \ตราเปา ซอพท์</v>
      </c>
      <c r="D204" s="5">
        <f>IFERROR(__xludf.DUMMYFUNCTION("""COMPUTED_VALUE"""),1.0)</f>
        <v>1</v>
      </c>
      <c r="E204" s="5">
        <f>IFERROR(__xludf.DUMMYFUNCTION("""COMPUTED_VALUE"""),12.0)</f>
        <v>12</v>
      </c>
      <c r="F204" s="5"/>
      <c r="G204" s="5" t="str">
        <f>IFERROR(__xludf.DUMMYFUNCTION("""COMPUTED_VALUE"""),"เปาผงซักฟอกซอฟท์900g")</f>
        <v>เปาผงซักฟอกซอฟท์900g</v>
      </c>
      <c r="H204" s="7">
        <f>IFERROR(__xludf.DUMMYFUNCTION("""COMPUTED_VALUE"""),49.0)</f>
        <v>49</v>
      </c>
      <c r="I204" s="7"/>
      <c r="J204" s="5"/>
    </row>
    <row r="205">
      <c r="A205" s="5">
        <f>IFERROR(__xludf.DUMMYFUNCTION("""COMPUTED_VALUE"""),3600001.0)</f>
        <v>3600001</v>
      </c>
      <c r="B205" s="6" t="str">
        <f>IFERROR(__xludf.DUMMYFUNCTION("""COMPUTED_VALUE"""),"3600001211020501")</f>
        <v>3600001211020501</v>
      </c>
      <c r="C205" s="5" t="str">
        <f>IFERROR(__xludf.DUMMYFUNCTION("""COMPUTED_VALUE"""),"ผลิตภัณฑ์ซักผ้า (น้ำยาซักแห้ง) ชนิดน้ำ บรรจุถุงพลาสติก (รีฟิว) ขนาด 400 ม.ล. ตราไฟน์ไลน์ แฮปปี้เนส กลิ่น สวิส ฟลอรัล")</f>
        <v>ผลิตภัณฑ์ซักผ้า (น้ำยาซักแห้ง) ชนิดน้ำ บรรจุถุงพลาสติก (รีฟิว) ขนาด 400 ม.ล. ตราไฟน์ไลน์ แฮปปี้เนส กลิ่น สวิส ฟลอรัล</v>
      </c>
      <c r="D205" s="5">
        <f>IFERROR(__xludf.DUMMYFUNCTION("""COMPUTED_VALUE"""),1.0)</f>
        <v>1</v>
      </c>
      <c r="E205" s="5">
        <f>IFERROR(__xludf.DUMMYFUNCTION("""COMPUTED_VALUE"""),13.0)</f>
        <v>13</v>
      </c>
      <c r="F205" s="5">
        <f>IFERROR(__xludf.DUMMYFUNCTION("""COMPUTED_VALUE"""),8.851989033174E12)</f>
        <v>8851989033174</v>
      </c>
      <c r="G205" s="5" t="str">
        <f>IFERROR(__xludf.DUMMYFUNCTION("""COMPUTED_VALUE"""),"ไฟน์ไลน์ซักผ้าเข้มข้นสวีทฟลอรัล400ml")</f>
        <v>ไฟน์ไลน์ซักผ้าเข้มข้นสวีทฟลอรัล400ml</v>
      </c>
      <c r="H205" s="7">
        <f>IFERROR(__xludf.DUMMYFUNCTION("""COMPUTED_VALUE"""),74.0)</f>
        <v>74</v>
      </c>
      <c r="I205" s="7">
        <f>IFERROR(__xludf.DUMMYFUNCTION("""COMPUTED_VALUE"""),38.0)</f>
        <v>38</v>
      </c>
      <c r="J205" s="5"/>
    </row>
    <row r="206">
      <c r="A206" s="5">
        <f>IFERROR(__xludf.DUMMYFUNCTION("""COMPUTED_VALUE"""),3600001.0)</f>
        <v>3600001</v>
      </c>
      <c r="B206" s="6" t="str">
        <f>IFERROR(__xludf.DUMMYFUNCTION("""COMPUTED_VALUE"""),"3600001212100102")</f>
        <v>3600001212100102</v>
      </c>
      <c r="C206" s="5" t="str">
        <f>IFERROR(__xludf.DUMMYFUNCTION("""COMPUTED_VALUE"""),"ผลิตภัณฑ์ซักผ้า (น้ำยาซักแห้ง) ชนิดน้ำ บรรจุถุงพลาสติก (รีฟิว) ขนาด 670 ม.ล. ตราบรีสเอ็กเซล ซิกเนเจอร์ พิงค์ โรซี่ ฟลอรัล")</f>
        <v>ผลิตภัณฑ์ซักผ้า (น้ำยาซักแห้ง) ชนิดน้ำ บรรจุถุงพลาสติก (รีฟิว) ขนาด 670 ม.ล. ตราบรีสเอ็กเซล ซิกเนเจอร์ พิงค์ โรซี่ ฟลอรัล</v>
      </c>
      <c r="D206" s="5">
        <f>IFERROR(__xludf.DUMMYFUNCTION("""COMPUTED_VALUE"""),1.0)</f>
        <v>1</v>
      </c>
      <c r="E206" s="5">
        <f>IFERROR(__xludf.DUMMYFUNCTION("""COMPUTED_VALUE"""),15.0)</f>
        <v>15</v>
      </c>
      <c r="F206" s="5"/>
      <c r="G206" s="5" t="str">
        <f>IFERROR(__xludf.DUMMYFUNCTION("""COMPUTED_VALUE"""),"บรีสเอกเซลซักผ้าเข้มข้นคอมฟอร์ทชมพู670ml")</f>
        <v>บรีสเอกเซลซักผ้าเข้มข้นคอมฟอร์ทชมพู670ml</v>
      </c>
      <c r="H206" s="7">
        <f>IFERROR(__xludf.DUMMYFUNCTION("""COMPUTED_VALUE"""),79.0)</f>
        <v>79</v>
      </c>
      <c r="I206" s="7">
        <f>IFERROR(__xludf.DUMMYFUNCTION("""COMPUTED_VALUE"""),59.0)</f>
        <v>59</v>
      </c>
      <c r="J206" s="5"/>
    </row>
    <row r="207">
      <c r="A207" s="5">
        <f>IFERROR(__xludf.DUMMYFUNCTION("""COMPUTED_VALUE"""),3600003.0)</f>
        <v>3600003</v>
      </c>
      <c r="B207" s="6" t="str">
        <f>IFERROR(__xludf.DUMMYFUNCTION("""COMPUTED_VALUE"""),"3600003111090680")</f>
        <v>3600003111090680</v>
      </c>
      <c r="C207" s="5" t="str">
        <f>IFERROR(__xludf.DUMMYFUNCTION("""COMPUTED_VALUE"""),"น้ำยาปรับผ้านุ่ม ชนิดน้ำ บรรจุถุงพลาสติก ขนาด 500 ซีซี ตราไฮยีน")</f>
        <v>น้ำยาปรับผ้านุ่ม ชนิดน้ำ บรรจุถุงพลาสติก ขนาด 500 ซีซี ตราไฮยีน</v>
      </c>
      <c r="D207" s="5">
        <f>IFERROR(__xludf.DUMMYFUNCTION("""COMPUTED_VALUE"""),2.0)</f>
        <v>2</v>
      </c>
      <c r="E207" s="5">
        <f>IFERROR(__xludf.DUMMYFUNCTION("""COMPUTED_VALUE"""),1.0)</f>
        <v>1</v>
      </c>
      <c r="F207" s="5">
        <f>IFERROR(__xludf.DUMMYFUNCTION("""COMPUTED_VALUE"""),8.85009226033E12)</f>
        <v>8850092260330</v>
      </c>
      <c r="G207" s="5" t="str">
        <f>IFERROR(__xludf.DUMMYFUNCTION("""COMPUTED_VALUE"""),"ไฮยีนปรับผ้าขาว500ml")</f>
        <v>ไฮยีนปรับผ้าขาว500ml</v>
      </c>
      <c r="H207" s="7">
        <f>IFERROR(__xludf.DUMMYFUNCTION("""COMPUTED_VALUE"""),17.0)</f>
        <v>17</v>
      </c>
      <c r="I207" s="7"/>
      <c r="J207" s="5"/>
    </row>
    <row r="208">
      <c r="A208" s="5">
        <f>IFERROR(__xludf.DUMMYFUNCTION("""COMPUTED_VALUE"""),3600003.0)</f>
        <v>3600003</v>
      </c>
      <c r="B208" s="6" t="str">
        <f>IFERROR(__xludf.DUMMYFUNCTION("""COMPUTED_VALUE"""),"3600003211260202")</f>
        <v>3600003211260202</v>
      </c>
      <c r="C208" s="5" t="str">
        <f>IFERROR(__xludf.DUMMYFUNCTION("""COMPUTED_VALUE"""),"น้ำยาปรับผ้านุ่ม ชนิดน้ำ เข้มข้น บรรจุถุงพลาสติก ขนาด 480 ซีซี ตราดาวน์นี่ แพชชั่น")</f>
        <v>น้ำยาปรับผ้านุ่ม ชนิดน้ำ เข้มข้น บรรจุถุงพลาสติก ขนาด 480 ซีซี ตราดาวน์นี่ แพชชั่น</v>
      </c>
      <c r="D208" s="5">
        <f>IFERROR(__xludf.DUMMYFUNCTION("""COMPUTED_VALUE"""),2.0)</f>
        <v>2</v>
      </c>
      <c r="E208" s="5">
        <f>IFERROR(__xludf.DUMMYFUNCTION("""COMPUTED_VALUE"""),2.0)</f>
        <v>2</v>
      </c>
      <c r="F208" s="5">
        <f>IFERROR(__xludf.DUMMYFUNCTION("""COMPUTED_VALUE"""),4.902430276665E12)</f>
        <v>4902430276665</v>
      </c>
      <c r="G208" s="5" t="str">
        <f>IFERROR(__xludf.DUMMYFUNCTION("""COMPUTED_VALUE"""),"ดาวน์นี่ปรับผ้าเข้มข้นแพชชั่น480ml")</f>
        <v>ดาวน์นี่ปรับผ้าเข้มข้นแพชชั่น480ml</v>
      </c>
      <c r="H208" s="7">
        <f>IFERROR(__xludf.DUMMYFUNCTION("""COMPUTED_VALUE"""),69.0)</f>
        <v>69</v>
      </c>
      <c r="I208" s="7">
        <f>IFERROR(__xludf.DUMMYFUNCTION("""COMPUTED_VALUE"""),59.0)</f>
        <v>59</v>
      </c>
      <c r="J208" s="5"/>
    </row>
    <row r="209">
      <c r="A209" s="5">
        <f>IFERROR(__xludf.DUMMYFUNCTION("""COMPUTED_VALUE"""),3600003.0)</f>
        <v>3600003</v>
      </c>
      <c r="B209" s="6" t="str">
        <f>IFERROR(__xludf.DUMMYFUNCTION("""COMPUTED_VALUE"""),"3600003211170211")</f>
        <v>3600003211170211</v>
      </c>
      <c r="C209" s="5" t="str">
        <f>IFERROR(__xludf.DUMMYFUNCTION("""COMPUTED_VALUE"""),"น้ำยาปรับผ้านุ่ม ชนิดน้ำ เข้มข้น บรรจุถุงพลาสติก ขนาด 500 ซีซี ตรา คอมฟอร์ท อัลตร้า เฟรช")</f>
        <v>น้ำยาปรับผ้านุ่ม ชนิดน้ำ เข้มข้น บรรจุถุงพลาสติก ขนาด 500 ซีซี ตรา คอมฟอร์ท อัลตร้า เฟรช</v>
      </c>
      <c r="D209" s="5">
        <f>IFERROR(__xludf.DUMMYFUNCTION("""COMPUTED_VALUE"""),1.0)</f>
        <v>1</v>
      </c>
      <c r="E209" s="5">
        <f>IFERROR(__xludf.DUMMYFUNCTION("""COMPUTED_VALUE"""),5.0)</f>
        <v>5</v>
      </c>
      <c r="F209" s="5"/>
      <c r="G209" s="5" t="str">
        <f>IFERROR(__xludf.DUMMYFUNCTION("""COMPUTED_VALUE"""),"คอมฟอร์ทปรับผ้าอัลตร้าฟ้า500/470ml")</f>
        <v>คอมฟอร์ทปรับผ้าอัลตร้าฟ้า500/470ml</v>
      </c>
      <c r="H209" s="7">
        <f>IFERROR(__xludf.DUMMYFUNCTION("""COMPUTED_VALUE"""),60.0)</f>
        <v>60</v>
      </c>
      <c r="I209" s="7">
        <f>IFERROR(__xludf.DUMMYFUNCTION("""COMPUTED_VALUE"""),49.0)</f>
        <v>49</v>
      </c>
      <c r="J209" s="5" t="str">
        <f>IFERROR(__xludf.DUMMYFUNCTION("""COMPUTED_VALUE"""),"PROMOTION MAIL (รอบ 25 ก.ย. - 24 ต.ค. 69)")</f>
        <v>PROMOTION MAIL (รอบ 25 ก.ย. - 24 ต.ค. 69)</v>
      </c>
    </row>
    <row r="210">
      <c r="A210" s="5">
        <f>IFERROR(__xludf.DUMMYFUNCTION("""COMPUTED_VALUE"""),3600003.0)</f>
        <v>3600003</v>
      </c>
      <c r="B210" s="6" t="str">
        <f>IFERROR(__xludf.DUMMYFUNCTION("""COMPUTED_VALUE"""),"3600003211260302")</f>
        <v>3600003211260302</v>
      </c>
      <c r="C210" s="5" t="str">
        <f>IFERROR(__xludf.DUMMYFUNCTION("""COMPUTED_VALUE"""),"น้ำยาปรับผ้านุ่ม ชนิดน้ำ เข้มข้น บรรจุถุงพลาสติก ขนาด 480 ซีซี ตราไฮยีน Expert Care แฮปปี้ซันชายน์")</f>
        <v>น้ำยาปรับผ้านุ่ม ชนิดน้ำ เข้มข้น บรรจุถุงพลาสติก ขนาด 480 ซีซี ตราไฮยีน Expert Care แฮปปี้ซันชายน์</v>
      </c>
      <c r="D210" s="5">
        <f>IFERROR(__xludf.DUMMYFUNCTION("""COMPUTED_VALUE"""),1.0)</f>
        <v>1</v>
      </c>
      <c r="E210" s="5">
        <f>IFERROR(__xludf.DUMMYFUNCTION("""COMPUTED_VALUE"""),8.0)</f>
        <v>8</v>
      </c>
      <c r="F210" s="5"/>
      <c r="G210" s="5" t="str">
        <f>IFERROR(__xludf.DUMMYFUNCTION("""COMPUTED_VALUE"""),"ไฮยีนปรับผ้าเข้มข้นแฮปปี้ซันไซน์480ml")</f>
        <v>ไฮยีนปรับผ้าเข้มข้นแฮปปี้ซันไซน์480ml</v>
      </c>
      <c r="H210" s="7">
        <f>IFERROR(__xludf.DUMMYFUNCTION("""COMPUTED_VALUE"""),60.0)</f>
        <v>60</v>
      </c>
      <c r="I210" s="7"/>
      <c r="J210" s="5"/>
    </row>
    <row r="211">
      <c r="A211" s="5">
        <f>IFERROR(__xludf.DUMMYFUNCTION("""COMPUTED_VALUE"""),3600003.0)</f>
        <v>3600003</v>
      </c>
      <c r="B211" s="6" t="str">
        <f>IFERROR(__xludf.DUMMYFUNCTION("""COMPUTED_VALUE"""),"3600003211280301")</f>
        <v>3600003211280301</v>
      </c>
      <c r="C211" s="5" t="str">
        <f>IFERROR(__xludf.DUMMYFUNCTION("""COMPUTED_VALUE"""),"น้ำยาปรับผ้านุ่ม ชนิดน้ำ บรรจุถุงพลาสติก ขนาด 470 ซีซี ตรา ไฟน์ไลน์")</f>
        <v>น้ำยาปรับผ้านุ่ม ชนิดน้ำ บรรจุถุงพลาสติก ขนาด 470 ซีซี ตรา ไฟน์ไลน์</v>
      </c>
      <c r="D211" s="5">
        <f>IFERROR(__xludf.DUMMYFUNCTION("""COMPUTED_VALUE"""),1.0)</f>
        <v>1</v>
      </c>
      <c r="E211" s="5">
        <f>IFERROR(__xludf.DUMMYFUNCTION("""COMPUTED_VALUE"""),9.0)</f>
        <v>9</v>
      </c>
      <c r="F211" s="5">
        <f>IFERROR(__xludf.DUMMYFUNCTION("""COMPUTED_VALUE"""),8.851989030395E12)</f>
        <v>8851989030395</v>
      </c>
      <c r="G211" s="5" t="str">
        <f>IFERROR(__xludf.DUMMYFUNCTION("""COMPUTED_VALUE"""),"ไฟน์ไลน์ปรับผ้าชมพู470ml")</f>
        <v>ไฟน์ไลน์ปรับผ้าชมพู470ml</v>
      </c>
      <c r="H211" s="7">
        <f>IFERROR(__xludf.DUMMYFUNCTION("""COMPUTED_VALUE"""),17.0)</f>
        <v>17</v>
      </c>
      <c r="I211" s="7">
        <f>IFERROR(__xludf.DUMMYFUNCTION("""COMPUTED_VALUE"""),15.0)</f>
        <v>15</v>
      </c>
      <c r="J211" s="5" t="str">
        <f>IFERROR(__xludf.DUMMYFUNCTION("""COMPUTED_VALUE"""),"PROMOTION MAIL (รอบ 25 ก.ย. - 24 ต.ค. 69)")</f>
        <v>PROMOTION MAIL (รอบ 25 ก.ย. - 24 ต.ค. 69)</v>
      </c>
    </row>
    <row r="212">
      <c r="A212" s="5">
        <f>IFERROR(__xludf.DUMMYFUNCTION("""COMPUTED_VALUE"""),3600004.0)</f>
        <v>3600004</v>
      </c>
      <c r="B212" s="6" t="str">
        <f>IFERROR(__xludf.DUMMYFUNCTION("""COMPUTED_VALUE"""),"3600004111030207")</f>
        <v>3600004111030207</v>
      </c>
      <c r="C212" s="5" t="str">
        <f>IFERROR(__xludf.DUMMYFUNCTION("""COMPUTED_VALUE"""),"น้ำยาล้างห้องน้ำ ชนิดน้ำ บรรจุขวด\ ขนาด 900 มล.\ ตรา DUCK โปร ล้างห้องน้ำ 1 ขจัดคราบหินปูน")</f>
        <v>น้ำยาล้างห้องน้ำ ชนิดน้ำ บรรจุขวด\ ขนาด 900 มล.\ ตรา DUCK โปร ล้างห้องน้ำ 1 ขจัดคราบหินปูน</v>
      </c>
      <c r="D212" s="5">
        <f>IFERROR(__xludf.DUMMYFUNCTION("""COMPUTED_VALUE"""),1.0)</f>
        <v>1</v>
      </c>
      <c r="E212" s="5">
        <f>IFERROR(__xludf.DUMMYFUNCTION("""COMPUTED_VALUE"""),2.0)</f>
        <v>2</v>
      </c>
      <c r="F212" s="5">
        <f>IFERROR(__xludf.DUMMYFUNCTION("""COMPUTED_VALUE"""),8.850175046066E12)</f>
        <v>8850175046066</v>
      </c>
      <c r="G212" s="5" t="str">
        <f>IFERROR(__xludf.DUMMYFUNCTION("""COMPUTED_VALUE"""),"เป็ดมิสเตอร์มัสเซิล ห้องน้ำสีม่วง 900ml")</f>
        <v>เป็ดมิสเตอร์มัสเซิล ห้องน้ำสีม่วง 900ml</v>
      </c>
      <c r="H212" s="7">
        <f>IFERROR(__xludf.DUMMYFUNCTION("""COMPUTED_VALUE"""),56.0)</f>
        <v>56</v>
      </c>
      <c r="I212" s="7"/>
      <c r="J212" s="5"/>
    </row>
    <row r="213">
      <c r="A213" s="5">
        <f>IFERROR(__xludf.DUMMYFUNCTION("""COMPUTED_VALUE"""),3600004.0)</f>
        <v>3600004</v>
      </c>
      <c r="B213" s="6" t="str">
        <f>IFERROR(__xludf.DUMMYFUNCTION("""COMPUTED_VALUE"""),"3600004111030310")</f>
        <v>3600004111030310</v>
      </c>
      <c r="C213" s="5" t="str">
        <f>IFERROR(__xludf.DUMMYFUNCTION("""COMPUTED_VALUE"""),"น้ำยาล้างห้องน้ำ ชนิดน้ำ บรรจุขวด\ ขนาด 900 มล.\ ตราวิกซอล สูตรดูโอแอคชั่น กลิ่นพิงค์พาราไดซ์")</f>
        <v>น้ำยาล้างห้องน้ำ ชนิดน้ำ บรรจุขวด\ ขนาด 900 มล.\ ตราวิกซอล สูตรดูโอแอคชั่น กลิ่นพิงค์พาราไดซ์</v>
      </c>
      <c r="D213" s="5">
        <f>IFERROR(__xludf.DUMMYFUNCTION("""COMPUTED_VALUE"""),1.0)</f>
        <v>1</v>
      </c>
      <c r="E213" s="5">
        <f>IFERROR(__xludf.DUMMYFUNCTION("""COMPUTED_VALUE"""),4.0)</f>
        <v>4</v>
      </c>
      <c r="F213" s="5">
        <f>IFERROR(__xludf.DUMMYFUNCTION("""COMPUTED_VALUE"""),8.850092012205E12)</f>
        <v>8850092012205</v>
      </c>
      <c r="G213" s="5" t="str">
        <f>IFERROR(__xludf.DUMMYFUNCTION("""COMPUTED_VALUE"""),"วิกซอลล้างห้องน้ำชมพู900ml")</f>
        <v>วิกซอลล้างห้องน้ำชมพู900ml</v>
      </c>
      <c r="H213" s="7">
        <f>IFERROR(__xludf.DUMMYFUNCTION("""COMPUTED_VALUE"""),47.0)</f>
        <v>47</v>
      </c>
      <c r="I213" s="7"/>
      <c r="J213" s="5"/>
    </row>
    <row r="214">
      <c r="A214" s="5">
        <f>IFERROR(__xludf.DUMMYFUNCTION("""COMPUTED_VALUE"""),3600004.0)</f>
        <v>3600004</v>
      </c>
      <c r="B214" s="6" t="str">
        <f>IFERROR(__xludf.DUMMYFUNCTION("""COMPUTED_VALUE"""),"3600004111040202")</f>
        <v>3600004111040202</v>
      </c>
      <c r="C214" s="5" t="str">
        <f>IFERROR(__xludf.DUMMYFUNCTION("""COMPUTED_VALUE"""),"น้ำยาล้างห้องน้ำ ชนิดน้ำ บรรจุขวด\ ขนาด 700 มล.\ ตรา VIXOL OXY 02 Power กลิ่น Floral Fresh")</f>
        <v>น้ำยาล้างห้องน้ำ ชนิดน้ำ บรรจุขวด\ ขนาด 700 มล.\ ตรา VIXOL OXY 02 Power กลิ่น Floral Fresh</v>
      </c>
      <c r="D214" s="5">
        <f>IFERROR(__xludf.DUMMYFUNCTION("""COMPUTED_VALUE"""),1.0)</f>
        <v>1</v>
      </c>
      <c r="E214" s="5">
        <f>IFERROR(__xludf.DUMMYFUNCTION("""COMPUTED_VALUE"""),5.0)</f>
        <v>5</v>
      </c>
      <c r="F214" s="5"/>
      <c r="G214" s="5" t="str">
        <f>IFERROR(__xludf.DUMMYFUNCTION("""COMPUTED_VALUE"""),"วิกซอลล้างห้องน้ำออกซี่ชมพู700ml")</f>
        <v>วิกซอลล้างห้องน้ำออกซี่ชมพู700ml</v>
      </c>
      <c r="H214" s="7">
        <f>IFERROR(__xludf.DUMMYFUNCTION("""COMPUTED_VALUE"""),51.0)</f>
        <v>51</v>
      </c>
      <c r="I214" s="7"/>
      <c r="J214" s="5"/>
    </row>
    <row r="215">
      <c r="A215" s="5">
        <f>IFERROR(__xludf.DUMMYFUNCTION("""COMPUTED_VALUE"""),3600005.0)</f>
        <v>3600005</v>
      </c>
      <c r="B215" s="6" t="str">
        <f>IFERROR(__xludf.DUMMYFUNCTION("""COMPUTED_VALUE"""),"3600005112050111")</f>
        <v>3600005112050111</v>
      </c>
      <c r="C215" s="5" t="str">
        <f>IFERROR(__xludf.DUMMYFUNCTION("""COMPUTED_VALUE"""),"น้ำยาล้างจาน ชนิดน้ำ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100%")</f>
        <v>น้ำยาล้างจาน ชนิดน้ำ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v>
      </c>
      <c r="D215" s="5">
        <f>IFERROR(__xludf.DUMMYFUNCTION("""COMPUTED_VALUE"""),4.0)</f>
        <v>4</v>
      </c>
      <c r="E215" s="5">
        <f>IFERROR(__xludf.DUMMYFUNCTION("""COMPUTED_VALUE"""),1.0)</f>
        <v>1</v>
      </c>
      <c r="F215" s="5">
        <f>IFERROR(__xludf.DUMMYFUNCTION("""COMPUTED_VALUE"""),8.851932187428E12)</f>
        <v>8851932187428</v>
      </c>
      <c r="G215" s="5" t="str">
        <f>IFERROR(__xludf.DUMMYFUNCTION("""COMPUTED_VALUE"""),"ซันไลต์ล้างจานเลมอนเทอร์โบ500ml")</f>
        <v>ซันไลต์ล้างจานเลมอนเทอร์โบ500ml</v>
      </c>
      <c r="H215" s="7">
        <f>IFERROR(__xludf.DUMMYFUNCTION("""COMPUTED_VALUE"""),32.0)</f>
        <v>32</v>
      </c>
      <c r="I215" s="7">
        <f>IFERROR(__xludf.DUMMYFUNCTION("""COMPUTED_VALUE"""),29.0)</f>
        <v>29</v>
      </c>
      <c r="J215" s="5" t="str">
        <f>IFERROR(__xludf.DUMMYFUNCTION("""COMPUTED_VALUE"""),"PROMOTION MAIL (รอบ 25 ก.ย. - 24 ต.ค. 69)")</f>
        <v>PROMOTION MAIL (รอบ 25 ก.ย. - 24 ต.ค. 69)</v>
      </c>
    </row>
    <row r="216">
      <c r="A216" s="5">
        <f>IFERROR(__xludf.DUMMYFUNCTION("""COMPUTED_VALUE"""),3600005.0)</f>
        <v>3600005</v>
      </c>
      <c r="B216" s="6" t="str">
        <f>IFERROR(__xludf.DUMMYFUNCTION("""COMPUTED_VALUE"""),"3600005112070205")</f>
        <v>3600005112070205</v>
      </c>
      <c r="C216" s="5" t="str">
        <f>IFERROR(__xludf.DUMMYFUNCTION("""COMPUTED_VALUE"""),"น้ำยาล้างจาน ชนิดน้ำ บรรจุถุงพลาสติก\ ขนาด 550 ซีซี \ ตราไลปอนเอฟ สูตรอนามัย ขจัดคราบมัน ล้างฟองออกง่าย ไร้กลิ่นติดจาน")</f>
        <v>น้ำยาล้างจาน ชนิดน้ำ บรรจุถุงพลาสติก\ ขนาด 550 ซีซี \ ตราไลปอนเอฟ สูตรอนามัย ขจัดคราบมัน ล้างฟองออกง่าย ไร้กลิ่นติดจาน</v>
      </c>
      <c r="D216" s="5">
        <f>IFERROR(__xludf.DUMMYFUNCTION("""COMPUTED_VALUE"""),3.0)</f>
        <v>3</v>
      </c>
      <c r="E216" s="5">
        <f>IFERROR(__xludf.DUMMYFUNCTION("""COMPUTED_VALUE"""),2.0)</f>
        <v>2</v>
      </c>
      <c r="F216" s="5">
        <f>IFERROR(__xludf.DUMMYFUNCTION("""COMPUTED_VALUE"""),8.850002010109E12)</f>
        <v>8850002010109</v>
      </c>
      <c r="G216" s="5" t="str">
        <f>IFERROR(__xludf.DUMMYFUNCTION("""COMPUTED_VALUE"""),"ไลปอนเอฟล้างจานอนามัย550ml")</f>
        <v>ไลปอนเอฟล้างจานอนามัย550ml</v>
      </c>
      <c r="H216" s="7">
        <f>IFERROR(__xludf.DUMMYFUNCTION("""COMPUTED_VALUE"""),29.0)</f>
        <v>29</v>
      </c>
      <c r="I216" s="7"/>
      <c r="J216" s="5"/>
    </row>
    <row r="217">
      <c r="A217" s="5">
        <f>IFERROR(__xludf.DUMMYFUNCTION("""COMPUTED_VALUE"""),3600005.0)</f>
        <v>3600005</v>
      </c>
      <c r="B217" s="6" t="str">
        <f>IFERROR(__xludf.DUMMYFUNCTION("""COMPUTED_VALUE"""),"3600005112050302")</f>
        <v>3600005112050302</v>
      </c>
      <c r="C217" s="5" t="str">
        <f>IFERROR(__xludf.DUMMYFUNCTION("""COMPUTED_VALUE"""),"น้ำยาล้างจาน ชนิดน้ำ บรรจุถุงพลาสติก\ ขนาด 500 ซีซี \ ตราไลปอนเอฟ สูตรชามะนาว")</f>
        <v>น้ำยาล้างจาน ชนิดน้ำ บรรจุถุงพลาสติก\ ขนาด 500 ซีซี \ ตราไลปอนเอฟ สูตรชามะนาว</v>
      </c>
      <c r="D217" s="5">
        <f>IFERROR(__xludf.DUMMYFUNCTION("""COMPUTED_VALUE"""),2.0)</f>
        <v>2</v>
      </c>
      <c r="E217" s="5">
        <f>IFERROR(__xludf.DUMMYFUNCTION("""COMPUTED_VALUE"""),3.0)</f>
        <v>3</v>
      </c>
      <c r="F217" s="5">
        <f>IFERROR(__xludf.DUMMYFUNCTION("""COMPUTED_VALUE"""),8.850002012509E12)</f>
        <v>8850002012509</v>
      </c>
      <c r="G217" s="5" t="str">
        <f>IFERROR(__xludf.DUMMYFUNCTION("""COMPUTED_VALUE"""),"ไลปอน ล้างจานชามะนาว 500ml")</f>
        <v>ไลปอน ล้างจานชามะนาว 500ml</v>
      </c>
      <c r="H217" s="7">
        <f>IFERROR(__xludf.DUMMYFUNCTION("""COMPUTED_VALUE"""),18.0)</f>
        <v>18</v>
      </c>
      <c r="I217" s="7">
        <f>IFERROR(__xludf.DUMMYFUNCTION("""COMPUTED_VALUE"""),15.0)</f>
        <v>15</v>
      </c>
      <c r="J217" s="5"/>
    </row>
    <row r="218">
      <c r="A218" s="5">
        <f>IFERROR(__xludf.DUMMYFUNCTION("""COMPUTED_VALUE"""),3600005.0)</f>
        <v>3600005</v>
      </c>
      <c r="B218" s="6" t="str">
        <f>IFERROR(__xludf.DUMMYFUNCTION("""COMPUTED_VALUE"""),"3600005112100301")</f>
        <v>3600005112100301</v>
      </c>
      <c r="C218" s="5" t="str">
        <f>IFERROR(__xludf.DUMMYFUNCTION("""COMPUTED_VALUE"""),"น้ำยาล้างจาน ชนิดน้ำ บรรจุถุงพลาสติก\ ขนาด 400 ซีซี \ ตรา โปร ผสมมะนาว")</f>
        <v>น้ำยาล้างจาน ชนิดน้ำ บรรจุถุงพลาสติก\ ขนาด 400 ซีซี \ ตรา โปร ผสมมะนาว</v>
      </c>
      <c r="D218" s="5">
        <f>IFERROR(__xludf.DUMMYFUNCTION("""COMPUTED_VALUE"""),1.0)</f>
        <v>1</v>
      </c>
      <c r="E218" s="5">
        <f>IFERROR(__xludf.DUMMYFUNCTION("""COMPUTED_VALUE"""),4.0)</f>
        <v>4</v>
      </c>
      <c r="F218" s="5">
        <f>IFERROR(__xludf.DUMMYFUNCTION("""COMPUTED_VALUE"""),8.850002012516E12)</f>
        <v>8850002012516</v>
      </c>
      <c r="G218" s="5" t="str">
        <f>IFERROR(__xludf.DUMMYFUNCTION("""COMPUTED_VALUE"""),"โปร ล้างจานเข้มข้น 400ml")</f>
        <v>โปร ล้างจานเข้มข้น 400ml</v>
      </c>
      <c r="H218" s="7">
        <f>IFERROR(__xludf.DUMMYFUNCTION("""COMPUTED_VALUE"""),10.0)</f>
        <v>10</v>
      </c>
      <c r="I218" s="7"/>
      <c r="J218" s="5"/>
    </row>
    <row r="219">
      <c r="A219" s="5">
        <f>IFERROR(__xludf.DUMMYFUNCTION("""COMPUTED_VALUE"""),3600010.0)</f>
        <v>3600010</v>
      </c>
      <c r="B219" s="6" t="str">
        <f>IFERROR(__xludf.DUMMYFUNCTION("""COMPUTED_VALUE"""),"3600010111050202")</f>
        <v>3600010111050202</v>
      </c>
      <c r="C219" s="5" t="str">
        <f>IFERROR(__xludf.DUMMYFUNCTION("""COMPUTED_VALUE"""),"น้ำยารีดผ้า ชนิดรีดผ้าเรียบ (น้ำ) บรรจุถุงพลาสติก (รีฟิว) ขนาด 500 ม.ล. ตราไฟล์ไลน์ รุ่น Pleasure Pink (สีชมพู)")</f>
        <v>น้ำยารีดผ้า ชนิดรีดผ้าเรียบ (น้ำ) บรรจุถุงพลาสติก (รีฟิว) ขนาด 500 ม.ล. ตราไฟล์ไลน์ รุ่น Pleasure Pink (สีชมพู)</v>
      </c>
      <c r="D219" s="5">
        <f>IFERROR(__xludf.DUMMYFUNCTION("""COMPUTED_VALUE"""),2.0)</f>
        <v>2</v>
      </c>
      <c r="E219" s="5">
        <f>IFERROR(__xludf.DUMMYFUNCTION("""COMPUTED_VALUE"""),1.0)</f>
        <v>1</v>
      </c>
      <c r="F219" s="5">
        <f>IFERROR(__xludf.DUMMYFUNCTION("""COMPUTED_VALUE"""),8.851989030425E12)</f>
        <v>8851989030425</v>
      </c>
      <c r="G219" s="5" t="str">
        <f>IFERROR(__xludf.DUMMYFUNCTION("""COMPUTED_VALUE"""),"ไฟไลน์รีดเรียบสีชมพู500ml")</f>
        <v>ไฟไลน์รีดเรียบสีชมพู500ml</v>
      </c>
      <c r="H219" s="7">
        <f>IFERROR(__xludf.DUMMYFUNCTION("""COMPUTED_VALUE"""),22.0)</f>
        <v>22</v>
      </c>
      <c r="I219" s="7">
        <f>IFERROR(__xludf.DUMMYFUNCTION("""COMPUTED_VALUE"""),11.0)</f>
        <v>11</v>
      </c>
      <c r="J219" s="5"/>
    </row>
    <row r="220">
      <c r="A220" s="5">
        <f>IFERROR(__xludf.DUMMYFUNCTION("""COMPUTED_VALUE"""),3600010.0)</f>
        <v>3600010</v>
      </c>
      <c r="B220" s="6" t="str">
        <f>IFERROR(__xludf.DUMMYFUNCTION("""COMPUTED_VALUE"""),"3600010111050201")</f>
        <v>3600010111050201</v>
      </c>
      <c r="C220" s="5" t="str">
        <f>IFERROR(__xludf.DUMMYFUNCTION("""COMPUTED_VALUE"""),"น้ำยารีดผ้า ชนิดรีดผ้าเรียบ (น้ำ) บรรจุถุงพลาสติก (รีฟิว) ขนาด 500ม.ล. ตราไฟไลน์ Sensy Purple")</f>
        <v>น้ำยารีดผ้า ชนิดรีดผ้าเรียบ (น้ำ) บรรจุถุงพลาสติก (รีฟิว) ขนาด 500ม.ล. ตราไฟไลน์ Sensy Purple</v>
      </c>
      <c r="D220" s="5">
        <f>IFERROR(__xludf.DUMMYFUNCTION("""COMPUTED_VALUE"""),2.0)</f>
        <v>2</v>
      </c>
      <c r="E220" s="5">
        <f>IFERROR(__xludf.DUMMYFUNCTION("""COMPUTED_VALUE"""),2.0)</f>
        <v>2</v>
      </c>
      <c r="F220" s="5">
        <f>IFERROR(__xludf.DUMMYFUNCTION("""COMPUTED_VALUE"""),8.851989030906E12)</f>
        <v>8851989030906</v>
      </c>
      <c r="G220" s="5" t="str">
        <f>IFERROR(__xludf.DUMMYFUNCTION("""COMPUTED_VALUE"""),"ไฟน์ไลน์รีดเรียบเพอร์ฟูมม่วง450ml")</f>
        <v>ไฟน์ไลน์รีดเรียบเพอร์ฟูมม่วง450ml</v>
      </c>
      <c r="H220" s="7">
        <f>IFERROR(__xludf.DUMMYFUNCTION("""COMPUTED_VALUE"""),20.0)</f>
        <v>20</v>
      </c>
      <c r="I220" s="7"/>
      <c r="J220" s="5"/>
    </row>
    <row r="221">
      <c r="A221" s="5">
        <f>IFERROR(__xludf.DUMMYFUNCTION("""COMPUTED_VALUE"""),3600010.0)</f>
        <v>3600010</v>
      </c>
      <c r="B221" s="6" t="str">
        <f>IFERROR(__xludf.DUMMYFUNCTION("""COMPUTED_VALUE"""),"3600010111050301")</f>
        <v>3600010111050301</v>
      </c>
      <c r="C221" s="5" t="str">
        <f>IFERROR(__xludf.DUMMYFUNCTION("""COMPUTED_VALUE"""),"น้ำยารีดผ้า ชนิดอัดกลีบ (น้ำ) บรรจุถุงพลาสติก (รีฟิว) ขนาด 500ม.ล. ตราไฮยีน")</f>
        <v>น้ำยารีดผ้า ชนิดอัดกลีบ (น้ำ) บรรจุถุงพลาสติก (รีฟิว) ขนาด 500ม.ล. ตราไฮยีน</v>
      </c>
      <c r="D221" s="5">
        <f>IFERROR(__xludf.DUMMYFUNCTION("""COMPUTED_VALUE"""),2.0)</f>
        <v>2</v>
      </c>
      <c r="E221" s="5">
        <f>IFERROR(__xludf.DUMMYFUNCTION("""COMPUTED_VALUE"""),3.0)</f>
        <v>3</v>
      </c>
      <c r="F221" s="5">
        <f>IFERROR(__xludf.DUMMYFUNCTION("""COMPUTED_VALUE"""),8.850092232511E12)</f>
        <v>8850092232511</v>
      </c>
      <c r="G221" s="5" t="str">
        <f>IFERROR(__xludf.DUMMYFUNCTION("""COMPUTED_VALUE"""),"ไฮยีนอัดกลีบชมพู500ml")</f>
        <v>ไฮยีนอัดกลีบชมพู500ml</v>
      </c>
      <c r="H221" s="7">
        <f>IFERROR(__xludf.DUMMYFUNCTION("""COMPUTED_VALUE"""),14.0)</f>
        <v>14</v>
      </c>
      <c r="I221" s="7">
        <f>IFERROR(__xludf.DUMMYFUNCTION("""COMPUTED_VALUE"""),7.0)</f>
        <v>7</v>
      </c>
      <c r="J221" s="5" t="str">
        <f>IFERROR(__xludf.DUMMYFUNCTION("""COMPUTED_VALUE"""),"PRO-CLEAR 28 วัน CP1 ( 19 ก.ย. - 16 ต.ค.69)")</f>
        <v>PRO-CLEAR 28 วัน CP1 ( 19 ก.ย. - 16 ต.ค.69)</v>
      </c>
    </row>
    <row r="222">
      <c r="A222" s="5">
        <f>IFERROR(__xludf.DUMMYFUNCTION("""COMPUTED_VALUE"""),3600010.0)</f>
        <v>3600010</v>
      </c>
      <c r="B222" s="6" t="str">
        <f>IFERROR(__xludf.DUMMYFUNCTION("""COMPUTED_VALUE"""),"3600010111050204")</f>
        <v>3600010111050204</v>
      </c>
      <c r="C222" s="5" t="str">
        <f>IFERROR(__xludf.DUMMYFUNCTION("""COMPUTED_VALUE"""),"น้ำยารีดผ้า ชนิดอัดเรียบ (น้ำ) บรรจุถุงพลาสติก (รีฟิว) ขนาด 500 ม.ล. ตราไฟล์ไลน์ รุ่น เพรสเชอร์พิ้งค์")</f>
        <v>น้ำยารีดผ้า ชนิดอัดเรียบ (น้ำ) บรรจุถุงพลาสติก (รีฟิว) ขนาด 500 ม.ล. ตราไฟล์ไลน์ รุ่น เพรสเชอร์พิ้งค์</v>
      </c>
      <c r="D222" s="5">
        <f>IFERROR(__xludf.DUMMYFUNCTION("""COMPUTED_VALUE"""),1.0)</f>
        <v>1</v>
      </c>
      <c r="E222" s="5">
        <f>IFERROR(__xludf.DUMMYFUNCTION("""COMPUTED_VALUE"""),4.0)</f>
        <v>4</v>
      </c>
      <c r="F222" s="5">
        <f>IFERROR(__xludf.DUMMYFUNCTION("""COMPUTED_VALUE"""),8.851989030487E12)</f>
        <v>8851989030487</v>
      </c>
      <c r="G222" s="5" t="str">
        <f>IFERROR(__xludf.DUMMYFUNCTION("""COMPUTED_VALUE"""),"ไฟน์ไลน์อัดกลีบชมพูถุง500ml")</f>
        <v>ไฟน์ไลน์อัดกลีบชมพูถุง500ml</v>
      </c>
      <c r="H222" s="7">
        <f>IFERROR(__xludf.DUMMYFUNCTION("""COMPUTED_VALUE"""),22.0)</f>
        <v>22</v>
      </c>
      <c r="I222" s="7">
        <f>IFERROR(__xludf.DUMMYFUNCTION("""COMPUTED_VALUE"""),11.0)</f>
        <v>11</v>
      </c>
      <c r="J222" s="5"/>
    </row>
    <row r="223">
      <c r="A223" s="5">
        <f>IFERROR(__xludf.DUMMYFUNCTION("""COMPUTED_VALUE"""),3600010.0)</f>
        <v>3600010</v>
      </c>
      <c r="B223" s="6" t="str">
        <f>IFERROR(__xludf.DUMMYFUNCTION("""COMPUTED_VALUE"""),"3600010111050601")</f>
        <v>3600010111050601</v>
      </c>
      <c r="C223" s="5" t="str">
        <f>IFERROR(__xludf.DUMMYFUNCTION("""COMPUTED_VALUE"""),"น้ำยารีดผ้า ชนิดรีดผ้าเรียบ (น้ำ) บรรจุถุงพลาสติก (รีฟิว) ขนาด 500ม.ล. ตราไฮยีน")</f>
        <v>น้ำยารีดผ้า ชนิดรีดผ้าเรียบ (น้ำ) บรรจุถุงพลาสติก (รีฟิว) ขนาด 500ม.ล. ตราไฮยีน</v>
      </c>
      <c r="D223" s="5">
        <f>IFERROR(__xludf.DUMMYFUNCTION("""COMPUTED_VALUE"""),1.0)</f>
        <v>1</v>
      </c>
      <c r="E223" s="5">
        <f>IFERROR(__xludf.DUMMYFUNCTION("""COMPUTED_VALUE"""),6.0)</f>
        <v>6</v>
      </c>
      <c r="F223" s="5">
        <f>IFERROR(__xludf.DUMMYFUNCTION("""COMPUTED_VALUE"""),8.850092222512E12)</f>
        <v>8850092222512</v>
      </c>
      <c r="G223" s="5" t="str">
        <f>IFERROR(__xludf.DUMMYFUNCTION("""COMPUTED_VALUE"""),"ไฮยีนรีดเรียบสีชมพูถุง500ml")</f>
        <v>ไฮยีนรีดเรียบสีชมพูถุง500ml</v>
      </c>
      <c r="H223" s="7">
        <f>IFERROR(__xludf.DUMMYFUNCTION("""COMPUTED_VALUE"""),14.0)</f>
        <v>14</v>
      </c>
      <c r="I223" s="7"/>
      <c r="J223" s="5"/>
    </row>
    <row r="224">
      <c r="A224" s="5">
        <f>IFERROR(__xludf.DUMMYFUNCTION("""COMPUTED_VALUE"""),3600012.0)</f>
        <v>3600012</v>
      </c>
      <c r="B224" s="6" t="str">
        <f>IFERROR(__xludf.DUMMYFUNCTION("""COMPUTED_VALUE"""),"3600012111040101")</f>
        <v>3600012111040101</v>
      </c>
      <c r="C224" s="5" t="str">
        <f>IFERROR(__xludf.DUMMYFUNCTION("""COMPUTED_VALUE"""),"ผลิตภัณฑ์ทำความสะอาดพื้น (น้ำยาถูพื้น) ชนิดน้ำ บรรจุถุงพลาสติก รีฟิว ขนาด 750 ม.ล. ตรามาจิกคลีน กลิ่นลิลลี่บูเก้")</f>
        <v>ผลิตภัณฑ์ทำความสะอาดพื้น (น้ำยาถูพื้น) ชนิดน้ำ บรรจุถุงพลาสติก รีฟิว ขนาด 750 ม.ล. ตรามาจิกคลีน กลิ่นลิลลี่บูเก้</v>
      </c>
      <c r="D224" s="5">
        <f>IFERROR(__xludf.DUMMYFUNCTION("""COMPUTED_VALUE"""),2.0)</f>
        <v>2</v>
      </c>
      <c r="E224" s="5">
        <f>IFERROR(__xludf.DUMMYFUNCTION("""COMPUTED_VALUE"""),1.0)</f>
        <v>1</v>
      </c>
      <c r="F224" s="5">
        <f>IFERROR(__xludf.DUMMYFUNCTION("""COMPUTED_VALUE"""),8.851818860605E12)</f>
        <v>8851818860605</v>
      </c>
      <c r="G224" s="5" t="str">
        <f>IFERROR(__xludf.DUMMYFUNCTION("""COMPUTED_VALUE"""),"มาจิคลีน ถูพื้นสีชมพู 750ml")</f>
        <v>มาจิคลีน ถูพื้นสีชมพู 750ml</v>
      </c>
      <c r="H224" s="7">
        <f>IFERROR(__xludf.DUMMYFUNCTION("""COMPUTED_VALUE"""),49.0)</f>
        <v>49</v>
      </c>
      <c r="I224" s="7"/>
      <c r="J224" s="5"/>
    </row>
    <row r="225">
      <c r="A225" s="5">
        <f>IFERROR(__xludf.DUMMYFUNCTION("""COMPUTED_VALUE"""),3600012.0)</f>
        <v>3600012</v>
      </c>
      <c r="B225" s="6" t="str">
        <f>IFERROR(__xludf.DUMMYFUNCTION("""COMPUTED_VALUE"""),"3600012111040380")</f>
        <v>3600012111040380</v>
      </c>
      <c r="C225" s="5" t="str">
        <f>IFERROR(__xludf.DUMMYFUNCTION("""COMPUTED_VALUE"""),"ผลิตภัณฑ์ทำความสะอาดพื้น (น้ำยาถูพื้น) ชนิดน้ำ บรรจุถุงพลาสติก รีฟิว ขนาด 750 ม.ล. ตราโทมิ")</f>
        <v>ผลิตภัณฑ์ทำความสะอาดพื้น (น้ำยาถูพื้น) ชนิดน้ำ บรรจุถุงพลาสติก รีฟิว ขนาด 750 ม.ล. ตราโทมิ</v>
      </c>
      <c r="D225" s="5">
        <f>IFERROR(__xludf.DUMMYFUNCTION("""COMPUTED_VALUE"""),2.0)</f>
        <v>2</v>
      </c>
      <c r="E225" s="5">
        <f>IFERROR(__xludf.DUMMYFUNCTION("""COMPUTED_VALUE"""),2.0)</f>
        <v>2</v>
      </c>
      <c r="F225" s="5">
        <f>IFERROR(__xludf.DUMMYFUNCTION("""COMPUTED_VALUE"""),8.851989041711E12)</f>
        <v>8851989041711</v>
      </c>
      <c r="G225" s="5" t="str">
        <f>IFERROR(__xludf.DUMMYFUNCTION("""COMPUTED_VALUE"""),"PM_โทมิถูพื้นดีลักซ์เพอร์ฟูมถุงชมพู650m")</f>
        <v>PM_โทมิถูพื้นดีลักซ์เพอร์ฟูมถุงชมพู650m</v>
      </c>
      <c r="H225" s="7"/>
      <c r="I225" s="7"/>
      <c r="J225" s="5"/>
    </row>
    <row r="226">
      <c r="A226" s="5">
        <f>IFERROR(__xludf.DUMMYFUNCTION("""COMPUTED_VALUE"""),3600012.0)</f>
        <v>3600012</v>
      </c>
      <c r="B226" s="6" t="str">
        <f>IFERROR(__xludf.DUMMYFUNCTION("""COMPUTED_VALUE"""),"3600012111040107")</f>
        <v>3600012111040107</v>
      </c>
      <c r="C226" s="5" t="str">
        <f>IFERROR(__xludf.DUMMYFUNCTION("""COMPUTED_VALUE"""),"-ผลิตภัณฑ์ทำความสะอาดพื้น (น้ำยาถูพื้น) ชนิดน้ำ บรรจุถุงพลาสติก รีฟิว ขนาด 750 ม.ล. ตรามาจิคลีน กลิ่นลาเวนเดอร์")</f>
        <v>-ผลิตภัณฑ์ทำความสะอาดพื้น (น้ำยาถูพื้น) ชนิดน้ำ บรรจุถุงพลาสติก รีฟิว ขนาด 750 ม.ล. ตรามาจิคลีน กลิ่นลาเวนเดอร์</v>
      </c>
      <c r="D226" s="5">
        <f>IFERROR(__xludf.DUMMYFUNCTION("""COMPUTED_VALUE"""),1.0)</f>
        <v>1</v>
      </c>
      <c r="E226" s="5">
        <f>IFERROR(__xludf.DUMMYFUNCTION("""COMPUTED_VALUE"""),6.0)</f>
        <v>6</v>
      </c>
      <c r="F226" s="5">
        <f>IFERROR(__xludf.DUMMYFUNCTION("""COMPUTED_VALUE"""),8.851818861503E12)</f>
        <v>8851818861503</v>
      </c>
      <c r="G226" s="5" t="str">
        <f>IFERROR(__xludf.DUMMYFUNCTION("""COMPUTED_VALUE"""),"มาจิคลีน ถูพื้นสีม่วง 750ml")</f>
        <v>มาจิคลีน ถูพื้นสีม่วง 750ml</v>
      </c>
      <c r="H226" s="7">
        <f>IFERROR(__xludf.DUMMYFUNCTION("""COMPUTED_VALUE"""),49.0)</f>
        <v>49</v>
      </c>
      <c r="I226" s="7"/>
      <c r="J226" s="5"/>
    </row>
    <row r="227">
      <c r="A227" s="5">
        <f>IFERROR(__xludf.DUMMYFUNCTION("""COMPUTED_VALUE"""),3600013.0)</f>
        <v>3600013</v>
      </c>
      <c r="B227" s="6" t="str">
        <f>IFERROR(__xludf.DUMMYFUNCTION("""COMPUTED_VALUE"""),"3600013211010108")</f>
        <v>3600013211010108</v>
      </c>
      <c r="C227" s="5" t="str">
        <f>IFERROR(__xludf.DUMMYFUNCTION("""COMPUTED_VALUE"""),"สารกำจัดแมลง/ไล่แมลง ชนิดขดกลม บรรจุกล่อง \ขนาด 12 x 12 กรัม \ตราห่านฟ้า สูตร 15")</f>
        <v>สารกำจัดแมลง/ไล่แมลง ชนิดขดกลม บรรจุกล่อง \ขนาด 12 x 12 กรัม \ตราห่านฟ้า สูตร 15</v>
      </c>
      <c r="D227" s="5">
        <f>IFERROR(__xludf.DUMMYFUNCTION("""COMPUTED_VALUE"""),2.0)</f>
        <v>2</v>
      </c>
      <c r="E227" s="5">
        <f>IFERROR(__xludf.DUMMYFUNCTION("""COMPUTED_VALUE"""),2.0)</f>
        <v>2</v>
      </c>
      <c r="F227" s="5">
        <f>IFERROR(__xludf.DUMMYFUNCTION("""COMPUTED_VALUE"""),8.852526600019E12)</f>
        <v>8852526600019</v>
      </c>
      <c r="G227" s="5" t="str">
        <f>IFERROR(__xludf.DUMMYFUNCTION("""COMPUTED_VALUE"""),"ห่านฟ้ายาจุดกันยุง10ขด")</f>
        <v>ห่านฟ้ายาจุดกันยุง10ขด</v>
      </c>
      <c r="H227" s="7">
        <f>IFERROR(__xludf.DUMMYFUNCTION("""COMPUTED_VALUE"""),26.0)</f>
        <v>26</v>
      </c>
      <c r="I227" s="7"/>
      <c r="J227" s="5"/>
    </row>
    <row r="228">
      <c r="A228" s="5">
        <f>IFERROR(__xludf.DUMMYFUNCTION("""COMPUTED_VALUE"""),3600013.0)</f>
        <v>3600013</v>
      </c>
      <c r="B228" s="6" t="str">
        <f>IFERROR(__xludf.DUMMYFUNCTION("""COMPUTED_VALUE"""),"3600013111020114")</f>
        <v>3600013111020114</v>
      </c>
      <c r="C228" s="5" t="str">
        <f>IFERROR(__xludf.DUMMYFUNCTION("""COMPUTED_VALUE"""),"สารกำจัดแมลง/ไล่แมลง ชนิดสเปรย์ บรรจุกระป๋อง \ขนาด 300 มล. \ตราไบกอนเขียว 23")</f>
        <v>สารกำจัดแมลง/ไล่แมลง ชนิดสเปรย์ บรรจุกระป๋อง \ขนาด 300 มล. \ตราไบกอนเขียว 23</v>
      </c>
      <c r="D228" s="5">
        <f>IFERROR(__xludf.DUMMYFUNCTION("""COMPUTED_VALUE"""),1.0)</f>
        <v>1</v>
      </c>
      <c r="E228" s="5">
        <f>IFERROR(__xludf.DUMMYFUNCTION("""COMPUTED_VALUE"""),3.0)</f>
        <v>3</v>
      </c>
      <c r="F228" s="5">
        <f>IFERROR(__xludf.DUMMYFUNCTION("""COMPUTED_VALUE"""),8.850175067313E12)</f>
        <v>8850175067313</v>
      </c>
      <c r="G228" s="5" t="str">
        <f>IFERROR(__xludf.DUMMYFUNCTION("""COMPUTED_VALUE"""),"ไบกอนกำจัดยุงมดแมลงสาบเขียว300ml")</f>
        <v>ไบกอนกำจัดยุงมดแมลงสาบเขียว300ml</v>
      </c>
      <c r="H228" s="7">
        <f>IFERROR(__xludf.DUMMYFUNCTION("""COMPUTED_VALUE"""),79.0)</f>
        <v>79</v>
      </c>
      <c r="I228" s="7"/>
      <c r="J228" s="5"/>
    </row>
    <row r="229">
      <c r="A229" s="5">
        <f>IFERROR(__xludf.DUMMYFUNCTION("""COMPUTED_VALUE"""),3600013.0)</f>
        <v>3600013</v>
      </c>
      <c r="B229" s="6" t="str">
        <f>IFERROR(__xludf.DUMMYFUNCTION("""COMPUTED_VALUE"""),"3600013111020331")</f>
        <v>3600013111020331</v>
      </c>
      <c r="C229" s="5" t="str">
        <f>IFERROR(__xludf.DUMMYFUNCTION("""COMPUTED_VALUE"""),"สารกำจัดแมลง/ไล่แมลง ชนิดสเปรย์ บรรจุกระป๋อง \ขนาด 300 มล. \ตราชิลค์ทอกซ์ \พาว์เวอร์การ์ด 5 ไร้กลิ่น")</f>
        <v>สารกำจัดแมลง/ไล่แมลง ชนิดสเปรย์ บรรจุกระป๋อง \ขนาด 300 มล. \ตราชิลค์ทอกซ์ \พาว์เวอร์การ์ด 5 ไร้กลิ่น</v>
      </c>
      <c r="D229" s="5">
        <f>IFERROR(__xludf.DUMMYFUNCTION("""COMPUTED_VALUE"""),1.0)</f>
        <v>1</v>
      </c>
      <c r="E229" s="5">
        <f>IFERROR(__xludf.DUMMYFUNCTION("""COMPUTED_VALUE"""),4.0)</f>
        <v>4</v>
      </c>
      <c r="F229" s="5">
        <f>IFERROR(__xludf.DUMMYFUNCTION("""COMPUTED_VALUE"""),8.850360091475E12)</f>
        <v>8850360091475</v>
      </c>
      <c r="G229" s="5" t="str">
        <f>IFERROR(__xludf.DUMMYFUNCTION("""COMPUTED_VALUE"""),"ชิลด์ท็อกซ์การ์ด5 ไร้กลิ่นเขียว 300ml")</f>
        <v>ชิลด์ท็อกซ์การ์ด5 ไร้กลิ่นเขียว 300ml</v>
      </c>
      <c r="H229" s="7">
        <f>IFERROR(__xludf.DUMMYFUNCTION("""COMPUTED_VALUE"""),74.0)</f>
        <v>74</v>
      </c>
      <c r="I229" s="7"/>
      <c r="J229" s="5"/>
    </row>
    <row r="230">
      <c r="A230" s="5">
        <f>IFERROR(__xludf.DUMMYFUNCTION("""COMPUTED_VALUE"""),3600013.0)</f>
        <v>3600013</v>
      </c>
      <c r="B230" s="6" t="str">
        <f>IFERROR(__xludf.DUMMYFUNCTION("""COMPUTED_VALUE"""),"3600013111020415")</f>
        <v>3600013111020415</v>
      </c>
      <c r="C230" s="5" t="str">
        <f>IFERROR(__xludf.DUMMYFUNCTION("""COMPUTED_VALUE"""),"สารกำจัดแมลง/ไล่แมลง ชนิดสเปรย์ บรรจุกระป๋อง \ขนาด 300 มล. \ตราอาท เจทโกลด์ สเปรย์กำจัดแมลง ยุง มด แมลงสาบ กลิ่นลาเวนเดอร์")</f>
        <v>สารกำจัดแมลง/ไล่แมลง ชนิดสเปรย์ บรรจุกระป๋อง \ขนาด 300 มล. \ตราอาท เจทโกลด์ สเปรย์กำจัดแมลง ยุง มด แมลงสาบ กลิ่นลาเวนเดอร์</v>
      </c>
      <c r="D230" s="5">
        <f>IFERROR(__xludf.DUMMYFUNCTION("""COMPUTED_VALUE"""),1.0)</f>
        <v>1</v>
      </c>
      <c r="E230" s="5">
        <f>IFERROR(__xludf.DUMMYFUNCTION("""COMPUTED_VALUE"""),5.0)</f>
        <v>5</v>
      </c>
      <c r="F230" s="5">
        <f>IFERROR(__xludf.DUMMYFUNCTION("""COMPUTED_VALUE"""),8.850273111017E12)</f>
        <v>8850273111017</v>
      </c>
      <c r="G230" s="5" t="str">
        <f>IFERROR(__xludf.DUMMYFUNCTION("""COMPUTED_VALUE"""),"อาทเจ็ทโกลด์กลิ่นลาเวนเดอร์ 300 ml.")</f>
        <v>อาทเจ็ทโกลด์กลิ่นลาเวนเดอร์ 300 ml.</v>
      </c>
      <c r="H230" s="7">
        <f>IFERROR(__xludf.DUMMYFUNCTION("""COMPUTED_VALUE"""),65.0)</f>
        <v>65</v>
      </c>
      <c r="I230" s="7"/>
      <c r="J230" s="5"/>
    </row>
    <row r="231">
      <c r="A231" s="5">
        <f>IFERROR(__xludf.DUMMYFUNCTION("""COMPUTED_VALUE"""),3600013.0)</f>
        <v>3600013</v>
      </c>
      <c r="B231" s="6" t="str">
        <f>IFERROR(__xludf.DUMMYFUNCTION("""COMPUTED_VALUE"""),"3600013111020418")</f>
        <v>3600013111020418</v>
      </c>
      <c r="C231" s="5" t="str">
        <f>IFERROR(__xludf.DUMMYFUNCTION("""COMPUTED_VALUE"""),"สารกำจัดแมลง/ไล่แมลง ชนิดสเปรย์ บรรจุกระป๋อง \ขนาด 300 มล. \ตราอาร์ท")</f>
        <v>สารกำจัดแมลง/ไล่แมลง ชนิดสเปรย์ บรรจุกระป๋อง \ขนาด 300 มล. \ตราอาร์ท</v>
      </c>
      <c r="D231" s="5">
        <f>IFERROR(__xludf.DUMMYFUNCTION("""COMPUTED_VALUE"""),1.0)</f>
        <v>1</v>
      </c>
      <c r="E231" s="5">
        <f>IFERROR(__xludf.DUMMYFUNCTION("""COMPUTED_VALUE"""),6.0)</f>
        <v>6</v>
      </c>
      <c r="F231" s="5">
        <f>IFERROR(__xludf.DUMMYFUNCTION("""COMPUTED_VALUE"""),8.850273103111E12)</f>
        <v>8850273103111</v>
      </c>
      <c r="G231" s="5" t="str">
        <f>IFERROR(__xludf.DUMMYFUNCTION("""COMPUTED_VALUE"""),"อาทกำจัดยุงมดแมลงไร้สารแต่งกลิ่น300ml")</f>
        <v>อาทกำจัดยุงมดแมลงไร้สารแต่งกลิ่น300ml</v>
      </c>
      <c r="H231" s="7">
        <f>IFERROR(__xludf.DUMMYFUNCTION("""COMPUTED_VALUE"""),65.0)</f>
        <v>65</v>
      </c>
      <c r="I231" s="7"/>
      <c r="J231" s="5" t="str">
        <f>IFERROR(__xludf.DUMMYFUNCTION("""COMPUTED_VALUE"""),"PROMOTION 7DAY รอบ 1-7 ต.ค. 69")</f>
        <v>PROMOTION 7DAY รอบ 1-7 ต.ค. 69</v>
      </c>
    </row>
    <row r="232">
      <c r="A232" s="5">
        <f>IFERROR(__xludf.DUMMYFUNCTION("""COMPUTED_VALUE"""),3600013.0)</f>
        <v>3600013</v>
      </c>
      <c r="B232" s="6" t="str">
        <f>IFERROR(__xludf.DUMMYFUNCTION("""COMPUTED_VALUE"""),"3600013111030216")</f>
        <v>3600013111030216</v>
      </c>
      <c r="C232" s="5" t="str">
        <f>IFERROR(__xludf.DUMMYFUNCTION("""COMPUTED_VALUE"""),"สารกำจัดแมลง/ไล่แมลง ชนิดสเปรย์ บรรจุกระป๋อง \ขนาด 600 มล. \ตราชิลค์ท็อกซ์ แนทเชอร์การ์ด 1")</f>
        <v>สารกำจัดแมลง/ไล่แมลง ชนิดสเปรย์ บรรจุกระป๋อง \ขนาด 600 มล. \ตราชิลค์ท็อกซ์ แนทเชอร์การ์ด 1</v>
      </c>
      <c r="D232" s="5">
        <f>IFERROR(__xludf.DUMMYFUNCTION("""COMPUTED_VALUE"""),1.0)</f>
        <v>1</v>
      </c>
      <c r="E232" s="5">
        <f>IFERROR(__xludf.DUMMYFUNCTION("""COMPUTED_VALUE"""),7.0)</f>
        <v>7</v>
      </c>
      <c r="F232" s="5">
        <f>IFERROR(__xludf.DUMMYFUNCTION("""COMPUTED_VALUE"""),8.850360092267E12)</f>
        <v>8850360092267</v>
      </c>
      <c r="G232" s="5" t="str">
        <f>IFERROR(__xludf.DUMMYFUNCTION("""COMPUTED_VALUE"""),"ชิลด์ท็อกซ์แนท1 ตะไคร้หอม 600ml")</f>
        <v>ชิลด์ท็อกซ์แนท1 ตะไคร้หอม 600ml</v>
      </c>
      <c r="H232" s="7">
        <f>IFERROR(__xludf.DUMMYFUNCTION("""COMPUTED_VALUE"""),115.0)</f>
        <v>115</v>
      </c>
      <c r="I232" s="7">
        <f>IFERROR(__xludf.DUMMYFUNCTION("""COMPUTED_VALUE"""),89.0)</f>
        <v>89</v>
      </c>
      <c r="J232" s="5"/>
    </row>
    <row r="233">
      <c r="A233" s="5">
        <f>IFERROR(__xludf.DUMMYFUNCTION("""COMPUTED_VALUE"""),3600013.0)</f>
        <v>3600013</v>
      </c>
      <c r="B233" s="6" t="str">
        <f>IFERROR(__xludf.DUMMYFUNCTION("""COMPUTED_VALUE"""),"3600013211020204")</f>
        <v>3600013211020204</v>
      </c>
      <c r="C233" s="5" t="str">
        <f>IFERROR(__xludf.DUMMYFUNCTION("""COMPUTED_VALUE"""),"สารกำจัดแมลง/ไล่แมลง ชนิดขดกลม บรรจุกล่อง \ขนาด 144 กรัม \ ตราไบกอน 26 กลิ่นลาเวนเดอร์")</f>
        <v>สารกำจัดแมลง/ไล่แมลง ชนิดขดกลม บรรจุกล่อง \ขนาด 144 กรัม \ ตราไบกอน 26 กลิ่นลาเวนเดอร์</v>
      </c>
      <c r="D233" s="5">
        <f>IFERROR(__xludf.DUMMYFUNCTION("""COMPUTED_VALUE"""),1.0)</f>
        <v>1</v>
      </c>
      <c r="E233" s="5">
        <f>IFERROR(__xludf.DUMMYFUNCTION("""COMPUTED_VALUE"""),8.0)</f>
        <v>8</v>
      </c>
      <c r="F233" s="5">
        <f>IFERROR(__xludf.DUMMYFUNCTION("""COMPUTED_VALUE"""),8.850175067283E12)</f>
        <v>8850175067283</v>
      </c>
      <c r="G233" s="5" t="str">
        <f>IFERROR(__xludf.DUMMYFUNCTION("""COMPUTED_VALUE"""),"ไบกอนยาจุดกันยุงลาเวนเดอร์12ขดx6")</f>
        <v>ไบกอนยาจุดกันยุงลาเวนเดอร์12ขดx6</v>
      </c>
      <c r="H233" s="7">
        <f>IFERROR(__xludf.DUMMYFUNCTION("""COMPUTED_VALUE"""),23.0)</f>
        <v>23</v>
      </c>
      <c r="I233" s="7"/>
      <c r="J233" s="5"/>
    </row>
    <row r="234">
      <c r="A234" s="5">
        <f>IFERROR(__xludf.DUMMYFUNCTION("""COMPUTED_VALUE"""),3600013.0)</f>
        <v>3600013</v>
      </c>
      <c r="B234" s="6" t="str">
        <f>IFERROR(__xludf.DUMMYFUNCTION("""COMPUTED_VALUE"""),"3600013211050301")</f>
        <v>3600013211050301</v>
      </c>
      <c r="C234" s="5" t="str">
        <f>IFERROR(__xludf.DUMMYFUNCTION("""COMPUTED_VALUE"""),"สารกำจัดแมลง/ไล่แมลง ชนิดขดกลม บรรจุกล่อง \ขนาด 10 x 12 กรัม ตรา ก.ย.15")</f>
        <v>สารกำจัดแมลง/ไล่แมลง ชนิดขดกลม บรรจุกล่อง \ขนาด 10 x 12 กรัม ตรา ก.ย.15</v>
      </c>
      <c r="D234" s="5">
        <f>IFERROR(__xludf.DUMMYFUNCTION("""COMPUTED_VALUE"""),1.0)</f>
        <v>1</v>
      </c>
      <c r="E234" s="5">
        <f>IFERROR(__xludf.DUMMYFUNCTION("""COMPUTED_VALUE"""),9.0)</f>
        <v>9</v>
      </c>
      <c r="F234" s="5"/>
      <c r="G234" s="5" t="str">
        <f>IFERROR(__xludf.DUMMYFUNCTION("""COMPUTED_VALUE"""),"ก.ย.15ยาจุดกันยุง6ขด")</f>
        <v>ก.ย.15ยาจุดกันยุง6ขด</v>
      </c>
      <c r="H234" s="7">
        <f>IFERROR(__xludf.DUMMYFUNCTION("""COMPUTED_VALUE"""),17.0)</f>
        <v>17</v>
      </c>
      <c r="I234" s="7">
        <f>IFERROR(__xludf.DUMMYFUNCTION("""COMPUTED_VALUE"""),15.0)</f>
        <v>15</v>
      </c>
      <c r="J234" s="5" t="str">
        <f>IFERROR(__xludf.DUMMYFUNCTION("""COMPUTED_VALUE"""),"PROMOTION MAIL (รอบ 25 ก.ย. - 24 ต.ค. 69)")</f>
        <v>PROMOTION MAIL (รอบ 25 ก.ย. - 24 ต.ค. 69)</v>
      </c>
    </row>
    <row r="235">
      <c r="A235" s="5">
        <f>IFERROR(__xludf.DUMMYFUNCTION("""COMPUTED_VALUE"""),3600014.0)</f>
        <v>3600014</v>
      </c>
      <c r="B235" s="6" t="str">
        <f>IFERROR(__xludf.DUMMYFUNCTION("""COMPUTED_VALUE"""),"3600014121021901")</f>
        <v>3600014121021901</v>
      </c>
      <c r="C235" s="5" t="str">
        <f>IFERROR(__xludf.DUMMYFUNCTION("""COMPUTED_VALUE"""),"ไม้ถูพื้น / ชนิดหนีบ / ด้ามลูกฟูก / กว้าง 10 นิ้ว ยาว 1.20 เมตร / ตรา Funday")</f>
        <v>ไม้ถูพื้น / ชนิดหนีบ / ด้ามลูกฟูก / กว้าง 10 นิ้ว ยาว 1.20 เมตร / ตรา Funday</v>
      </c>
      <c r="D235" s="5">
        <f>IFERROR(__xludf.DUMMYFUNCTION("""COMPUTED_VALUE"""),2.0)</f>
        <v>2</v>
      </c>
      <c r="E235" s="5">
        <f>IFERROR(__xludf.DUMMYFUNCTION("""COMPUTED_VALUE"""),1.0)</f>
        <v>1</v>
      </c>
      <c r="F235" s="5">
        <f>IFERROR(__xludf.DUMMYFUNCTION("""COMPUTED_VALUE"""),8.85933371173E12)</f>
        <v>8859333711730</v>
      </c>
      <c r="G235" s="5" t="str">
        <f>IFERROR(__xludf.DUMMYFUNCTION("""COMPUTED_VALUE"""),"ฟันเดย์ไม้ถูพื้นหัวหนีบ10นิ้ว")</f>
        <v>ฟันเดย์ไม้ถูพื้นหัวหนีบ10นิ้ว</v>
      </c>
      <c r="H235" s="7">
        <f>IFERROR(__xludf.DUMMYFUNCTION("""COMPUTED_VALUE"""),139.0)</f>
        <v>139</v>
      </c>
      <c r="I235" s="7"/>
      <c r="J235" s="5"/>
    </row>
    <row r="236">
      <c r="A236" s="5">
        <f>IFERROR(__xludf.DUMMYFUNCTION("""COMPUTED_VALUE"""),3600016.0)</f>
        <v>3600016</v>
      </c>
      <c r="B236" s="6" t="str">
        <f>IFERROR(__xludf.DUMMYFUNCTION("""COMPUTED_VALUE"""),"3600016111010108")</f>
        <v>3600016111010108</v>
      </c>
      <c r="C236" s="5" t="str">
        <f>IFERROR(__xludf.DUMMYFUNCTION("""COMPUTED_VALUE"""),"ฟองน้ำ/ฝอยขัดสแตนเลส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3M")</f>
        <v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v>
      </c>
      <c r="D236" s="5">
        <f>IFERROR(__xludf.DUMMYFUNCTION("""COMPUTED_VALUE"""),1.0)</f>
        <v>1</v>
      </c>
      <c r="E236" s="5">
        <f>IFERROR(__xludf.DUMMYFUNCTION("""COMPUTED_VALUE"""),1.0)</f>
        <v>1</v>
      </c>
      <c r="F236" s="5">
        <f>IFERROR(__xludf.DUMMYFUNCTION("""COMPUTED_VALUE"""),8.850304015161E12)</f>
        <v>8850304015161</v>
      </c>
      <c r="G236" s="5" t="str">
        <f>IFERROR(__xludf.DUMMYFUNCTION("""COMPUTED_VALUE"""),"สก๊อตช์ไบรต์ใยขัดพร้อมฟองน้ำPK2+1")</f>
        <v>สก๊อตช์ไบรต์ใยขัดพร้อมฟองน้ำPK2+1</v>
      </c>
      <c r="H236" s="7">
        <f>IFERROR(__xludf.DUMMYFUNCTION("""COMPUTED_VALUE"""),43.0)</f>
        <v>43</v>
      </c>
      <c r="I236" s="7"/>
      <c r="J236" s="5"/>
    </row>
    <row r="237">
      <c r="A237" s="5">
        <f>IFERROR(__xludf.DUMMYFUNCTION("""COMPUTED_VALUE"""),3600016.0)</f>
        <v>3600016</v>
      </c>
      <c r="B237" s="6" t="str">
        <f>IFERROR(__xludf.DUMMYFUNCTION("""COMPUTED_VALUE"""),"3600016111060501")</f>
        <v>3600016111060501</v>
      </c>
      <c r="C237" s="5" t="str">
        <f>IFERROR(__xludf.DUMMYFUNCTION("""COMPUTED_VALUE"""),"ฟองน้ำ/ฝอยขัดสแตนเลส ฟองน้ำและสก็อตไบร์ท/ บรรจุห่อพลาสติก/ ขนาด7.5 ซ.ม..x 10 ซ.ม. บรรจุ 2 ชิ้น ตรา โพลี่ไบร์ท")</f>
        <v>ฟองน้ำ/ฝอยขัดสแตนเลส ฟองน้ำและสก็อตไบร์ท/ บรรจุห่อพลาสติก/ ขนาด7.5 ซ.ม..x 10 ซ.ม. บรรจุ 2 ชิ้น ตรา โพลี่ไบร์ท</v>
      </c>
      <c r="D237" s="5">
        <f>IFERROR(__xludf.DUMMYFUNCTION("""COMPUTED_VALUE"""),1.0)</f>
        <v>1</v>
      </c>
      <c r="E237" s="5">
        <f>IFERROR(__xludf.DUMMYFUNCTION("""COMPUTED_VALUE"""),2.0)</f>
        <v>2</v>
      </c>
      <c r="F237" s="5"/>
      <c r="G237" s="5" t="str">
        <f>IFERROR(__xludf.DUMMYFUNCTION("""COMPUTED_VALUE"""),"โพลีไบรท์ใยขัดอเนกประสงค์แอนตี้แบค2+1")</f>
        <v>โพลีไบรท์ใยขัดอเนกประสงค์แอนตี้แบค2+1</v>
      </c>
      <c r="H237" s="7">
        <f>IFERROR(__xludf.DUMMYFUNCTION("""COMPUTED_VALUE"""),42.0)</f>
        <v>42</v>
      </c>
      <c r="I237" s="7"/>
      <c r="J237" s="5"/>
    </row>
    <row r="238">
      <c r="A238" s="5">
        <f>IFERROR(__xludf.DUMMYFUNCTION("""COMPUTED_VALUE"""),3600017.0)</f>
        <v>3600017</v>
      </c>
      <c r="B238" s="6" t="str">
        <f>IFERROR(__xludf.DUMMYFUNCTION("""COMPUTED_VALUE"""),"3600017111061901")</f>
        <v>3600017111061901</v>
      </c>
      <c r="C238" s="5" t="str">
        <f>IFERROR(__xludf.DUMMYFUNCTION("""COMPUTED_VALUE"""),"ถุงดำใส่ขยะ/ถุงใส่ขยะ ถุงขยะสีดำ ขนาด 30"" x 40"" จำนวน 12 ใบ. ตราฮีโร่")</f>
        <v>ถุงดำใส่ขยะ/ถุงใส่ขยะ ถุงขยะสีดำ ขนาด 30" x 40" จำนวน 12 ใบ. ตราฮีโร่</v>
      </c>
      <c r="D238" s="5">
        <f>IFERROR(__xludf.DUMMYFUNCTION("""COMPUTED_VALUE"""),2.0)</f>
        <v>2</v>
      </c>
      <c r="E238" s="5">
        <f>IFERROR(__xludf.DUMMYFUNCTION("""COMPUTED_VALUE"""),1.0)</f>
        <v>1</v>
      </c>
      <c r="F238" s="5">
        <f>IFERROR(__xludf.DUMMYFUNCTION("""COMPUTED_VALUE"""),8.858773980423E12)</f>
        <v>8858773980423</v>
      </c>
      <c r="G238" s="5" t="str">
        <f>IFERROR(__xludf.DUMMYFUNCTION("""COMPUTED_VALUE"""),"HEROถุงขยะหนา 30x40นิ้ว X12")</f>
        <v>HEROถุงขยะหนา 30x40นิ้ว X12</v>
      </c>
      <c r="H238" s="7">
        <f>IFERROR(__xludf.DUMMYFUNCTION("""COMPUTED_VALUE"""),69.0)</f>
        <v>69</v>
      </c>
      <c r="I238" s="7">
        <f>IFERROR(__xludf.DUMMYFUNCTION("""COMPUTED_VALUE"""),65.0)</f>
        <v>65</v>
      </c>
      <c r="J238" s="5"/>
    </row>
    <row r="239">
      <c r="A239" s="5">
        <f>IFERROR(__xludf.DUMMYFUNCTION("""COMPUTED_VALUE"""),3600017.0)</f>
        <v>3600017</v>
      </c>
      <c r="B239" s="6" t="str">
        <f>IFERROR(__xludf.DUMMYFUNCTION("""COMPUTED_VALUE"""),"3600017111022001")</f>
        <v>3600017111022001</v>
      </c>
      <c r="C239" s="5" t="str">
        <f>IFERROR(__xludf.DUMMYFUNCTION("""COMPUTED_VALUE"""),"ถุงดำใส่ขยะ/ถุงใส่ขยะ ถุงขยะสีดำ ขนาด 24"" x 28"" จำนวน 20 ใบ ตรา ฮีโร่")</f>
        <v>ถุงดำใส่ขยะ/ถุงใส่ขยะ ถุงขยะสีดำ ขนาด 24" x 28" จำนวน 20 ใบ ตรา ฮีโร่</v>
      </c>
      <c r="D239" s="5">
        <f>IFERROR(__xludf.DUMMYFUNCTION("""COMPUTED_VALUE"""),1.0)</f>
        <v>1</v>
      </c>
      <c r="E239" s="5">
        <f>IFERROR(__xludf.DUMMYFUNCTION("""COMPUTED_VALUE"""),3.0)</f>
        <v>3</v>
      </c>
      <c r="F239" s="5">
        <f>IFERROR(__xludf.DUMMYFUNCTION("""COMPUTED_VALUE"""),8.858773958408E12)</f>
        <v>8858773958408</v>
      </c>
      <c r="G239" s="5" t="str">
        <f>IFERROR(__xludf.DUMMYFUNCTION("""COMPUTED_VALUE"""),"ฮีโร่ถุงขยะมาตรฐานดำ24x28นิ้ว20ใบ")</f>
        <v>ฮีโร่ถุงขยะมาตรฐานดำ24x28นิ้ว20ใบ</v>
      </c>
      <c r="H239" s="7">
        <f>IFERROR(__xludf.DUMMYFUNCTION("""COMPUTED_VALUE"""),49.0)</f>
        <v>49</v>
      </c>
      <c r="I239" s="7"/>
      <c r="J239" s="5"/>
    </row>
    <row r="240">
      <c r="A240" s="5">
        <f>IFERROR(__xludf.DUMMYFUNCTION("""COMPUTED_VALUE"""),3600017.0)</f>
        <v>3600017</v>
      </c>
      <c r="B240" s="6" t="str">
        <f>IFERROR(__xludf.DUMMYFUNCTION("""COMPUTED_VALUE"""),"3600017111032102")</f>
        <v>3600017111032102</v>
      </c>
      <c r="C240" s="5" t="str">
        <f>IFERROR(__xludf.DUMMYFUNCTION("""COMPUTED_VALUE"""),"ถุงดำใส่ขยะ/ถุงใส่ขยะ ถุงขยะสีดำ ขนาด 28"" x 36"" จำนวน 15 ใบ ตรา Funday")</f>
        <v>ถุงดำใส่ขยะ/ถุงใส่ขยะ ถุงขยะสีดำ ขนาด 28" x 36" จำนวน 15 ใบ ตรา Funday</v>
      </c>
      <c r="D240" s="5">
        <f>IFERROR(__xludf.DUMMYFUNCTION("""COMPUTED_VALUE"""),1.0)</f>
        <v>1</v>
      </c>
      <c r="E240" s="5">
        <f>IFERROR(__xludf.DUMMYFUNCTION("""COMPUTED_VALUE"""),4.0)</f>
        <v>4</v>
      </c>
      <c r="F240" s="5">
        <f>IFERROR(__xludf.DUMMYFUNCTION("""COMPUTED_VALUE"""),8.859333710344E12)</f>
        <v>8859333710344</v>
      </c>
      <c r="G240" s="5" t="str">
        <f>IFERROR(__xludf.DUMMYFUNCTION("""COMPUTED_VALUE"""),"ฟันเดย์ถุงขยะดำ28x36นิ้ว15ใบ")</f>
        <v>ฟันเดย์ถุงขยะดำ28x36นิ้ว15ใบ</v>
      </c>
      <c r="H240" s="7">
        <f>IFERROR(__xludf.DUMMYFUNCTION("""COMPUTED_VALUE"""),49.0)</f>
        <v>49</v>
      </c>
      <c r="I240" s="7"/>
      <c r="J240" s="5"/>
    </row>
    <row r="241">
      <c r="A241" s="5">
        <f>IFERROR(__xludf.DUMMYFUNCTION("""COMPUTED_VALUE"""),3600018.0)</f>
        <v>3600018</v>
      </c>
      <c r="B241" s="6" t="str">
        <f>IFERROR(__xludf.DUMMYFUNCTION("""COMPUTED_VALUE"""),"3600018111010101")</f>
        <v>3600018111010101</v>
      </c>
      <c r="C241" s="5" t="str">
        <f>IFERROR(__xludf.DUMMYFUNCTION("""COMPUTED_VALUE"""),"ผลิตภัณฑ์ฟอกผ้าขาว/น้ำยาซักผ้าขาว ชนิดน้ำ บรรจุขวด ขนาด 600 .ม.ล. ตราไฮเตอร์ ผสมน้ำหอม ขวดสีชมพู")</f>
        <v>ผลิตภัณฑ์ฟอกผ้าขาว/น้ำยาซักผ้าขาว ชนิดน้ำ บรรจุขวด ขนาด 600 .ม.ล. ตราไฮเตอร์ ผสมน้ำหอม ขวดสีชมพู</v>
      </c>
      <c r="D241" s="5">
        <f>IFERROR(__xludf.DUMMYFUNCTION("""COMPUTED_VALUE"""),6.0)</f>
        <v>6</v>
      </c>
      <c r="E241" s="5">
        <f>IFERROR(__xludf.DUMMYFUNCTION("""COMPUTED_VALUE"""),1.0)</f>
        <v>1</v>
      </c>
      <c r="F241" s="5">
        <f>IFERROR(__xludf.DUMMYFUNCTION("""COMPUTED_VALUE"""),8.8518186133E12)</f>
        <v>8851818613300</v>
      </c>
      <c r="G241" s="5" t="str">
        <f>IFERROR(__xludf.DUMMYFUNCTION("""COMPUTED_VALUE"""),"ไฮเตอร์สีชมพู600ml")</f>
        <v>ไฮเตอร์สีชมพู600ml</v>
      </c>
      <c r="H241" s="7">
        <f>IFERROR(__xludf.DUMMYFUNCTION("""COMPUTED_VALUE"""),32.0)</f>
        <v>32</v>
      </c>
      <c r="I241" s="7"/>
      <c r="J241" s="5"/>
    </row>
    <row r="242">
      <c r="A242" s="5">
        <f>IFERROR(__xludf.DUMMYFUNCTION("""COMPUTED_VALUE"""),3600018.0)</f>
        <v>3600018</v>
      </c>
      <c r="B242" s="6" t="str">
        <f>IFERROR(__xludf.DUMMYFUNCTION("""COMPUTED_VALUE"""),"3600018111030180")</f>
        <v>3600018111030180</v>
      </c>
      <c r="C242" s="5" t="str">
        <f>IFERROR(__xludf.DUMMYFUNCTION("""COMPUTED_VALUE"""),"ผลิตภัณฑ์ฟอกผ้าขาว/น้ำยาซักผ้าขาว ชนิดน้ำ บรรจุขวด ขนาด 250.ม.ล. ตรา ไฮยีน")</f>
        <v>ผลิตภัณฑ์ฟอกผ้าขาว/น้ำยาซักผ้าขาว ชนิดน้ำ บรรจุขวด ขนาด 250.ม.ล. ตรา ไฮยีน</v>
      </c>
      <c r="D242" s="5">
        <f>IFERROR(__xludf.DUMMYFUNCTION("""COMPUTED_VALUE"""),2.0)</f>
        <v>2</v>
      </c>
      <c r="E242" s="5">
        <f>IFERROR(__xludf.DUMMYFUNCTION("""COMPUTED_VALUE"""),2.0)</f>
        <v>2</v>
      </c>
      <c r="F242" s="5">
        <f>IFERROR(__xludf.DUMMYFUNCTION("""COMPUTED_VALUE"""),8.5009221306E11)</f>
        <v>850092213060</v>
      </c>
      <c r="G242" s="5" t="str">
        <f>IFERROR(__xludf.DUMMYFUNCTION("""COMPUTED_VALUE"""),"ไฮยีนน้ำยาขจัดคราบสีเขียว250ml")</f>
        <v>ไฮยีนน้ำยาขจัดคราบสีเขียว250ml</v>
      </c>
      <c r="H242" s="7"/>
      <c r="I242" s="7"/>
      <c r="J242" s="5"/>
    </row>
    <row r="243">
      <c r="A243" s="5">
        <f>IFERROR(__xludf.DUMMYFUNCTION("""COMPUTED_VALUE"""),3600018.0)</f>
        <v>3600018</v>
      </c>
      <c r="B243" s="6" t="str">
        <f>IFERROR(__xludf.DUMMYFUNCTION("""COMPUTED_VALUE"""),"3600018111010102")</f>
        <v>3600018111010102</v>
      </c>
      <c r="C243" s="5" t="str">
        <f>IFERROR(__xludf.DUMMYFUNCTION("""COMPUTED_VALUE"""),"ผลิตภัณฑ์ฟอกผ้าขาว/น้ำยาซักผ้าขาว ชนิดน้ำ บรรจุขวด ขนาด 600 .ม.ล. ตราไฮเตอร์ ขวดสีฟ้า")</f>
        <v>ผลิตภัณฑ์ฟอกผ้าขาว/น้ำยาซักผ้าขาว ชนิดน้ำ บรรจุขวด ขนาด 600 .ม.ล. ตราไฮเตอร์ ขวดสีฟ้า</v>
      </c>
      <c r="D243" s="5">
        <f>IFERROR(__xludf.DUMMYFUNCTION("""COMPUTED_VALUE"""),1.0)</f>
        <v>1</v>
      </c>
      <c r="E243" s="5">
        <f>IFERROR(__xludf.DUMMYFUNCTION("""COMPUTED_VALUE"""),3.0)</f>
        <v>3</v>
      </c>
      <c r="F243" s="5">
        <f>IFERROR(__xludf.DUMMYFUNCTION("""COMPUTED_VALUE"""),8.851818603301E12)</f>
        <v>8851818603301</v>
      </c>
      <c r="G243" s="5" t="str">
        <f>IFERROR(__xludf.DUMMYFUNCTION("""COMPUTED_VALUE"""),"ไฮเตอร์สีฟ้า600ml")</f>
        <v>ไฮเตอร์สีฟ้า600ml</v>
      </c>
      <c r="H243" s="7">
        <f>IFERROR(__xludf.DUMMYFUNCTION("""COMPUTED_VALUE"""),32.0)</f>
        <v>32</v>
      </c>
      <c r="I243" s="7"/>
      <c r="J243" s="5"/>
    </row>
    <row r="244">
      <c r="A244" s="5">
        <f>IFERROR(__xludf.DUMMYFUNCTION("""COMPUTED_VALUE"""),3600018.0)</f>
        <v>3600018</v>
      </c>
      <c r="B244" s="6" t="str">
        <f>IFERROR(__xludf.DUMMYFUNCTION("""COMPUTED_VALUE"""),"3600018111030280")</f>
        <v>3600018111030280</v>
      </c>
      <c r="C244" s="5" t="str">
        <f>IFERROR(__xludf.DUMMYFUNCTION("""COMPUTED_VALUE"""),"ผลิตภัณฑ์ฟอกผ้าขาว/น้ำยาซักผ้าขาว ชนิดน้ำ บรรจุขวด ขนาด 250.ม.ล. ตรา ไฮเตอร์")</f>
        <v>ผลิตภัณฑ์ฟอกผ้าขาว/น้ำยาซักผ้าขาว ชนิดน้ำ บรรจุขวด ขนาด 250.ม.ล. ตรา ไฮเตอร์</v>
      </c>
      <c r="D244" s="5">
        <f>IFERROR(__xludf.DUMMYFUNCTION("""COMPUTED_VALUE"""),1.0)</f>
        <v>1</v>
      </c>
      <c r="E244" s="5">
        <f>IFERROR(__xludf.DUMMYFUNCTION("""COMPUTED_VALUE"""),4.0)</f>
        <v>4</v>
      </c>
      <c r="F244" s="5">
        <f>IFERROR(__xludf.DUMMYFUNCTION("""COMPUTED_VALUE"""),8.851818612303E12)</f>
        <v>8851818612303</v>
      </c>
      <c r="G244" s="5" t="str">
        <f>IFERROR(__xludf.DUMMYFUNCTION("""COMPUTED_VALUE"""),"ไฮเตอร์สีชมพู250ml")</f>
        <v>ไฮเตอร์สีชมพู250ml</v>
      </c>
      <c r="H244" s="7">
        <f>IFERROR(__xludf.DUMMYFUNCTION("""COMPUTED_VALUE"""),17.0)</f>
        <v>17</v>
      </c>
      <c r="I244" s="7"/>
      <c r="J244" s="5"/>
    </row>
    <row r="245">
      <c r="A245" s="5">
        <f>IFERROR(__xludf.DUMMYFUNCTION("""COMPUTED_VALUE"""),3600018.0)</f>
        <v>3600018</v>
      </c>
      <c r="B245" s="6" t="str">
        <f>IFERROR(__xludf.DUMMYFUNCTION("""COMPUTED_VALUE"""),"3600018111020101")</f>
        <v>3600018111020101</v>
      </c>
      <c r="C245" s="5" t="str">
        <f>IFERROR(__xludf.DUMMYFUNCTION("""COMPUTED_VALUE"""),"ผลิตภัณฑ์ฟอกผ้าขาว/น้ำยาซักผ้าขาว ชนิดน้ำ บรรจุขวด ขนาด 500.ม.ล. ตรา ไฮยีน Colour Beach Florol")</f>
        <v>ผลิตภัณฑ์ฟอกผ้าขาว/น้ำยาซักผ้าขาว ชนิดน้ำ บรรจุขวด ขนาด 500.ม.ล. ตรา ไฮยีน Colour Beach Florol</v>
      </c>
      <c r="D245" s="5">
        <f>IFERROR(__xludf.DUMMYFUNCTION("""COMPUTED_VALUE"""),1.0)</f>
        <v>1</v>
      </c>
      <c r="E245" s="5">
        <f>IFERROR(__xludf.DUMMYFUNCTION("""COMPUTED_VALUE"""),5.0)</f>
        <v>5</v>
      </c>
      <c r="F245" s="5">
        <f>IFERROR(__xludf.DUMMYFUNCTION("""COMPUTED_VALUE"""),8.850092213145E12)</f>
        <v>8850092213145</v>
      </c>
      <c r="G245" s="5" t="str">
        <f>IFERROR(__xludf.DUMMYFUNCTION("""COMPUTED_VALUE"""),"ไฮยีนน้ำยาขจัดคราบสีเขียว500ml")</f>
        <v>ไฮยีนน้ำยาขจัดคราบสีเขียว500ml</v>
      </c>
      <c r="H245" s="7">
        <f>IFERROR(__xludf.DUMMYFUNCTION("""COMPUTED_VALUE"""),39.0)</f>
        <v>39</v>
      </c>
      <c r="I245" s="7"/>
      <c r="J245" s="5"/>
    </row>
    <row r="246">
      <c r="A246" s="5">
        <f>IFERROR(__xludf.DUMMYFUNCTION("""COMPUTED_VALUE"""),4112002.0)</f>
        <v>4112002</v>
      </c>
      <c r="B246" s="6" t="str">
        <f>IFERROR(__xludf.DUMMYFUNCTION("""COMPUTED_VALUE"""),"4112002111010101")</f>
        <v>4112002111010101</v>
      </c>
      <c r="C246" s="5" t="str">
        <f>IFERROR(__xludf.DUMMYFUNCTION("""COMPUTED_VALUE"""),"ถุงยางอนามัย ชนิดผิวเรียบ บรรจุกล่องกระดาษ ขนาด 52 ม.ม. บรรจุ 3 ชิ้น ตราดูเร็กส์ กลิ่นสตรอเบอรี่")</f>
        <v>ถุงยางอนามัย ชนิดผิวเรียบ บรรจุกล่องกระดาษ ขนาด 52 ม.ม. บรรจุ 3 ชิ้น ตราดูเร็กส์ กลิ่นสตรอเบอรี่</v>
      </c>
      <c r="D246" s="5">
        <f>IFERROR(__xludf.DUMMYFUNCTION("""COMPUTED_VALUE"""),3.0)</f>
        <v>3</v>
      </c>
      <c r="E246" s="5">
        <f>IFERROR(__xludf.DUMMYFUNCTION("""COMPUTED_VALUE"""),1.0)</f>
        <v>1</v>
      </c>
      <c r="F246" s="5">
        <f>IFERROR(__xludf.DUMMYFUNCTION("""COMPUTED_VALUE"""),8.850163000278E12)</f>
        <v>8850163000278</v>
      </c>
      <c r="G246" s="5" t="str">
        <f>IFERROR(__xludf.DUMMYFUNCTION("""COMPUTED_VALUE"""),"ดูเร็กซ์ถุงยางอนามัยสตรอเบอร์รี่3pc")</f>
        <v>ดูเร็กซ์ถุงยางอนามัยสตรอเบอร์รี่3pc</v>
      </c>
      <c r="H246" s="7">
        <f>IFERROR(__xludf.DUMMYFUNCTION("""COMPUTED_VALUE"""),106.0)</f>
        <v>106</v>
      </c>
      <c r="I246" s="7">
        <f>IFERROR(__xludf.DUMMYFUNCTION("""COMPUTED_VALUE"""),99.0)</f>
        <v>99</v>
      </c>
      <c r="J246" s="5" t="str">
        <f>IFERROR(__xludf.DUMMYFUNCTION("""COMPUTED_VALUE"""),"PROMOTION MAIL (รอบ 25 ก.ย. - 24 ต.ค. 69)")</f>
        <v>PROMOTION MAIL (รอบ 25 ก.ย. - 24 ต.ค. 69)</v>
      </c>
    </row>
    <row r="247">
      <c r="A247" s="5">
        <f>IFERROR(__xludf.DUMMYFUNCTION("""COMPUTED_VALUE"""),4112002.0)</f>
        <v>4112002</v>
      </c>
      <c r="B247" s="6" t="str">
        <f>IFERROR(__xludf.DUMMYFUNCTION("""COMPUTED_VALUE"""),"4112002111010401")</f>
        <v>4112002111010401</v>
      </c>
      <c r="C247" s="5" t="str">
        <f>IFERROR(__xludf.DUMMYFUNCTION("""COMPUTED_VALUE"""),"ถุงยางอนามัย ชนิดผิวเรียบ บรรจุกล่องกระดาษ ขนาด 52 ม.ม. บรรจุ 3 ชิ้น ตราวันทัช กลิ่นสตรอเบอรรี่")</f>
        <v>ถุงยางอนามัย ชนิดผิวเรียบ บรรจุกล่องกระดาษ ขนาด 52 ม.ม. บรรจุ 3 ชิ้น ตราวันทัช กลิ่นสตรอเบอรรี่</v>
      </c>
      <c r="D247" s="5">
        <f>IFERROR(__xludf.DUMMYFUNCTION("""COMPUTED_VALUE"""),2.0)</f>
        <v>2</v>
      </c>
      <c r="E247" s="5">
        <f>IFERROR(__xludf.DUMMYFUNCTION("""COMPUTED_VALUE"""),2.0)</f>
        <v>2</v>
      </c>
      <c r="F247" s="5">
        <f>IFERROR(__xludf.DUMMYFUNCTION("""COMPUTED_VALUE"""),8.852961001242E12)</f>
        <v>8852961001242</v>
      </c>
      <c r="G247" s="5" t="str">
        <f>IFERROR(__xludf.DUMMYFUNCTION("""COMPUTED_VALUE"""),"วันทัชถุงยางอนามัยสตรอเบอรี่3pc")</f>
        <v>วันทัชถุงยางอนามัยสตรอเบอรี่3pc</v>
      </c>
      <c r="H247" s="7">
        <f>IFERROR(__xludf.DUMMYFUNCTION("""COMPUTED_VALUE"""),75.0)</f>
        <v>75</v>
      </c>
      <c r="I247" s="7">
        <f>IFERROR(__xludf.DUMMYFUNCTION("""COMPUTED_VALUE"""),37.0)</f>
        <v>37</v>
      </c>
      <c r="J247" s="5" t="str">
        <f>IFERROR(__xludf.DUMMYFUNCTION("""COMPUTED_VALUE"""),"PROMOTION MAIL (รอบ 25 ก.ย. - 24 ต.ค. 69)")</f>
        <v>PROMOTION MAIL (รอบ 25 ก.ย. - 24 ต.ค. 69)</v>
      </c>
    </row>
    <row r="248">
      <c r="A248" s="5">
        <f>IFERROR(__xludf.DUMMYFUNCTION("""COMPUTED_VALUE"""),4112003.0)</f>
        <v>4112003</v>
      </c>
      <c r="B248" s="6" t="str">
        <f>IFERROR(__xludf.DUMMYFUNCTION("""COMPUTED_VALUE"""),"4112003111010280")</f>
        <v>4112003111010280</v>
      </c>
      <c r="C248" s="5" t="str">
        <f>IFERROR(__xludf.DUMMYFUNCTION("""COMPUTED_VALUE"""),"แอลกอฮอล์สำหรับฆ่าเชื้อโรคทำความสะอาดแผล ชนิดน้ำ บรรจุขวดพลาสติก ขนาด 450 ซี.ซี ตราศิริบัญชา")</f>
        <v>แอลกอฮอล์สำหรับฆ่าเชื้อโรคทำความสะอาดแผล ชนิดน้ำ บรรจุขวดพลาสติก ขนาด 450 ซี.ซี ตราศิริบัญชา</v>
      </c>
      <c r="D248" s="5">
        <f>IFERROR(__xludf.DUMMYFUNCTION("""COMPUTED_VALUE"""),1.0)</f>
        <v>1</v>
      </c>
      <c r="E248" s="5">
        <f>IFERROR(__xludf.DUMMYFUNCTION("""COMPUTED_VALUE"""),1.0)</f>
        <v>1</v>
      </c>
      <c r="F248" s="5">
        <f>IFERROR(__xludf.DUMMYFUNCTION("""COMPUTED_VALUE"""),8.851124104592E12)</f>
        <v>8851124104592</v>
      </c>
      <c r="G248" s="5" t="str">
        <f>IFERROR(__xludf.DUMMYFUNCTION("""COMPUTED_VALUE"""),"แอลกอฮอล์ศิริบัญชา(ใหญ่)450ml")</f>
        <v>แอลกอฮอล์ศิริบัญชา(ใหญ่)450ml</v>
      </c>
      <c r="H248" s="7">
        <f>IFERROR(__xludf.DUMMYFUNCTION("""COMPUTED_VALUE"""),56.0)</f>
        <v>56</v>
      </c>
      <c r="I248" s="7"/>
      <c r="J248" s="5"/>
    </row>
    <row r="249">
      <c r="A249" s="5">
        <f>IFERROR(__xludf.DUMMYFUNCTION("""COMPUTED_VALUE"""),4112004.0)</f>
        <v>4112004</v>
      </c>
      <c r="B249" s="6" t="str">
        <f>IFERROR(__xludf.DUMMYFUNCTION("""COMPUTED_VALUE"""),"4112004111040301")</f>
        <v>4112004111040301</v>
      </c>
      <c r="C249" s="5" t="str">
        <f>IFERROR(__xludf.DUMMYFUNCTION("""COMPUTED_VALUE"""),"หน้ากากอนามัย ชนิดใยสังเคราะห์ บรรจุซอง จำนวน 8 ชิ้น ตรา FRESH PLUS")</f>
        <v>หน้ากากอนามัย ชนิดใยสังเคราะห์ บรรจุซอง จำนวน 8 ชิ้น ตรา FRESH PLUS</v>
      </c>
      <c r="D249" s="5">
        <f>IFERROR(__xludf.DUMMYFUNCTION("""COMPUTED_VALUE"""),2.0)</f>
        <v>2</v>
      </c>
      <c r="E249" s="5">
        <f>IFERROR(__xludf.DUMMYFUNCTION("""COMPUTED_VALUE"""),1.0)</f>
        <v>1</v>
      </c>
      <c r="F249" s="5">
        <f>IFERROR(__xludf.DUMMYFUNCTION("""COMPUTED_VALUE"""),8.858843206682E12)</f>
        <v>8858843206682</v>
      </c>
      <c r="G249" s="5" t="str">
        <f>IFERROR(__xludf.DUMMYFUNCTION("""COMPUTED_VALUE"""),"เฟรชพลัสหน้ากากอนามัย3ชั้น8ชิ้น")</f>
        <v>เฟรชพลัสหน้ากากอนามัย3ชั้น8ชิ้น</v>
      </c>
      <c r="H249" s="7">
        <f>IFERROR(__xludf.DUMMYFUNCTION("""COMPUTED_VALUE"""),20.0)</f>
        <v>20</v>
      </c>
      <c r="I249" s="7"/>
      <c r="J249" s="5"/>
    </row>
    <row r="250">
      <c r="A250" s="5">
        <f>IFERROR(__xludf.DUMMYFUNCTION("""COMPUTED_VALUE"""),4210001.0)</f>
        <v>4210001</v>
      </c>
      <c r="B250" s="6" t="str">
        <f>IFERROR(__xludf.DUMMYFUNCTION("""COMPUTED_VALUE"""),"4210001111010101")</f>
        <v>4210001111010101</v>
      </c>
      <c r="C250" s="5" t="str">
        <f>IFERROR(__xludf.DUMMYFUNCTION("""COMPUTED_VALUE"""),"สบู่ถูตัว ชนิดก้อน บรรจุกล่อง (1 ก้อน) \ขนาด 70 กรัม \ ตรานกแก้ว")</f>
        <v>สบู่ถูตัว ชนิดก้อน บรรจุกล่อง (1 ก้อน) \ขนาด 70 กรัม \ ตรานกแก้ว</v>
      </c>
      <c r="D250" s="5">
        <f>IFERROR(__xludf.DUMMYFUNCTION("""COMPUTED_VALUE"""),2.0)</f>
        <v>2</v>
      </c>
      <c r="E250" s="5">
        <f>IFERROR(__xludf.DUMMYFUNCTION("""COMPUTED_VALUE"""),2.0)</f>
        <v>2</v>
      </c>
      <c r="F250" s="5">
        <f>IFERROR(__xludf.DUMMYFUNCTION("""COMPUTED_VALUE"""),8.85192900099E12)</f>
        <v>8851929000990</v>
      </c>
      <c r="G250" s="5" t="str">
        <f>IFERROR(__xludf.DUMMYFUNCTION("""COMPUTED_VALUE"""),"นกแก้วสบู่เขียว70g")</f>
        <v>นกแก้วสบู่เขียว70g</v>
      </c>
      <c r="H250" s="7">
        <f>IFERROR(__xludf.DUMMYFUNCTION("""COMPUTED_VALUE"""),14.0)</f>
        <v>14</v>
      </c>
      <c r="I250" s="7"/>
      <c r="J250" s="5"/>
    </row>
    <row r="251">
      <c r="A251" s="5">
        <f>IFERROR(__xludf.DUMMYFUNCTION("""COMPUTED_VALUE"""),4210001.0)</f>
        <v>4210001</v>
      </c>
      <c r="B251" s="6" t="str">
        <f>IFERROR(__xludf.DUMMYFUNCTION("""COMPUTED_VALUE"""),"4210001141010101")</f>
        <v>4210001141010101</v>
      </c>
      <c r="C251" s="5" t="str">
        <f>IFERROR(__xludf.DUMMYFUNCTION("""COMPUTED_VALUE"""),"สบู่ถูตัว ชนิดก้อน บรรจุกล่อง (1 ก้อน) \ ขนาด 130 กรัม \ ตราเบนเนท สูตร C&amp;E")</f>
        <v>สบู่ถูตัว ชนิดก้อน บรรจุกล่อง (1 ก้อน) \ ขนาด 130 กรัม \ ตราเบนเนท สูตร C&amp;E</v>
      </c>
      <c r="D251" s="5">
        <f>IFERROR(__xludf.DUMMYFUNCTION("""COMPUTED_VALUE"""),2.0)</f>
        <v>2</v>
      </c>
      <c r="E251" s="5">
        <f>IFERROR(__xludf.DUMMYFUNCTION("""COMPUTED_VALUE"""),3.0)</f>
        <v>3</v>
      </c>
      <c r="F251" s="5">
        <f>IFERROR(__xludf.DUMMYFUNCTION("""COMPUTED_VALUE"""),8.850784994796E12)</f>
        <v>8850784994796</v>
      </c>
      <c r="G251" s="5" t="str">
        <f>IFERROR(__xludf.DUMMYFUNCTION("""COMPUTED_VALUE"""),"เบนเนทสบู่วิตามินอีสีส้ม130g")</f>
        <v>เบนเนทสบู่วิตามินอีสีส้ม130g</v>
      </c>
      <c r="H251" s="7">
        <f>IFERROR(__xludf.DUMMYFUNCTION("""COMPUTED_VALUE"""),52.0)</f>
        <v>52</v>
      </c>
      <c r="I251" s="7"/>
      <c r="J251" s="5"/>
    </row>
    <row r="252">
      <c r="A252" s="5">
        <f>IFERROR(__xludf.DUMMYFUNCTION("""COMPUTED_VALUE"""),4210001.0)</f>
        <v>4210001</v>
      </c>
      <c r="B252" s="6" t="str">
        <f>IFERROR(__xludf.DUMMYFUNCTION("""COMPUTED_VALUE"""),"4210001111150104")</f>
        <v>4210001111150104</v>
      </c>
      <c r="C252" s="5" t="str">
        <f>IFERROR(__xludf.DUMMYFUNCTION("""COMPUTED_VALUE"""),"สบู่ถูตัว ชนิดก้อน บรรจุกล่อง (4 ก้อน/แพ็ค)\ ขนาด 60 กรัม\ ตราโพรเทค บอสซัม เเคร์")</f>
        <v>สบู่ถูตัว ชนิดก้อน บรรจุกล่อง (4 ก้อน/แพ็ค)\ ขนาด 60 กรัม\ ตราโพรเทค บอสซัม เเคร์</v>
      </c>
      <c r="D252" s="5">
        <f>IFERROR(__xludf.DUMMYFUNCTION("""COMPUTED_VALUE"""),1.0)</f>
        <v>1</v>
      </c>
      <c r="E252" s="5">
        <f>IFERROR(__xludf.DUMMYFUNCTION("""COMPUTED_VALUE"""),7.0)</f>
        <v>7</v>
      </c>
      <c r="F252" s="5">
        <f>IFERROR(__xludf.DUMMYFUNCTION("""COMPUTED_VALUE"""),8.850006534311E12)</f>
        <v>8850006534311</v>
      </c>
      <c r="G252" s="5" t="str">
        <f>IFERROR(__xludf.DUMMYFUNCTION("""COMPUTED_VALUE"""),"โพรเทคส์สบู่สมูทแคร์60gx4")</f>
        <v>โพรเทคส์สบู่สมูทแคร์60gx4</v>
      </c>
      <c r="H252" s="7">
        <f>IFERROR(__xludf.DUMMYFUNCTION("""COMPUTED_VALUE"""),62.0)</f>
        <v>62</v>
      </c>
      <c r="I252" s="7">
        <f>IFERROR(__xludf.DUMMYFUNCTION("""COMPUTED_VALUE"""),55.0)</f>
        <v>55</v>
      </c>
      <c r="J252" s="5" t="str">
        <f>IFERROR(__xludf.DUMMYFUNCTION("""COMPUTED_VALUE"""),"PROMOTION MAIL (รอบ 25 ก.ย. - 24 ต.ค. 69)")</f>
        <v>PROMOTION MAIL (รอบ 25 ก.ย. - 24 ต.ค. 69)</v>
      </c>
    </row>
    <row r="253">
      <c r="A253" s="5">
        <f>IFERROR(__xludf.DUMMYFUNCTION("""COMPUTED_VALUE"""),4210002.0)</f>
        <v>4210002</v>
      </c>
      <c r="B253" s="6" t="str">
        <f>IFERROR(__xludf.DUMMYFUNCTION("""COMPUTED_VALUE"""),"4210002111030201")</f>
        <v>4210002111030201</v>
      </c>
      <c r="C253" s="5" t="str">
        <f>IFERROR(__xludf.DUMMYFUNCTION("""COMPUTED_VALUE"""),"ยาสีฟัน ชนิดครีม บรรจุหลอด\ ขนาด 100 กรัม\ ตราดอกบัวคู่ ดั้งเดิม")</f>
        <v>ยาสีฟัน ชนิดครีม บรรจุหลอด\ ขนาด 100 กรัม\ ตราดอกบัวคู่ ดั้งเดิม</v>
      </c>
      <c r="D253" s="5">
        <f>IFERROR(__xludf.DUMMYFUNCTION("""COMPUTED_VALUE"""),3.0)</f>
        <v>3</v>
      </c>
      <c r="E253" s="5">
        <f>IFERROR(__xludf.DUMMYFUNCTION("""COMPUTED_VALUE"""),1.0)</f>
        <v>1</v>
      </c>
      <c r="F253" s="5">
        <f>IFERROR(__xludf.DUMMYFUNCTION("""COMPUTED_VALUE"""),8.850348110013E12)</f>
        <v>8850348110013</v>
      </c>
      <c r="G253" s="5" t="str">
        <f>IFERROR(__xludf.DUMMYFUNCTION("""COMPUTED_VALUE"""),"ดอกบัวคู่ยาสีฟันสูตรดั้งเดิม100g")</f>
        <v>ดอกบัวคู่ยาสีฟันสูตรดั้งเดิม100g</v>
      </c>
      <c r="H253" s="7">
        <f>IFERROR(__xludf.DUMMYFUNCTION("""COMPUTED_VALUE"""),42.0)</f>
        <v>42</v>
      </c>
      <c r="I253" s="7"/>
      <c r="J253" s="5"/>
    </row>
    <row r="254">
      <c r="A254" s="5">
        <f>IFERROR(__xludf.DUMMYFUNCTION("""COMPUTED_VALUE"""),4210002.0)</f>
        <v>4210002</v>
      </c>
      <c r="B254" s="6" t="str">
        <f>IFERROR(__xludf.DUMMYFUNCTION("""COMPUTED_VALUE"""),"4210002211090101")</f>
        <v>4210002211090101</v>
      </c>
      <c r="C254" s="5" t="str">
        <f>IFERROR(__xludf.DUMMYFUNCTION("""COMPUTED_VALUE"""),"ยาสีฟัน ชนิดเจล บรรจุหลอด \ ขนาด 70 กรัม \ ตราเทพไทย รสดั้งเดิม")</f>
        <v>ยาสีฟัน ชนิดเจล บรรจุหลอด \ ขนาด 70 กรัม \ ตราเทพไทย รสดั้งเดิม</v>
      </c>
      <c r="D254" s="5">
        <f>IFERROR(__xludf.DUMMYFUNCTION("""COMPUTED_VALUE"""),2.0)</f>
        <v>2</v>
      </c>
      <c r="E254" s="5">
        <f>IFERROR(__xludf.DUMMYFUNCTION("""COMPUTED_VALUE"""),2.0)</f>
        <v>2</v>
      </c>
      <c r="F254" s="5">
        <f>IFERROR(__xludf.DUMMYFUNCTION("""COMPUTED_VALUE"""),8.857123060464E12)</f>
        <v>8857123060464</v>
      </c>
      <c r="G254" s="5" t="str">
        <f>IFERROR(__xludf.DUMMYFUNCTION("""COMPUTED_VALUE"""),"เทพไทยยาสีฟันรสดั้งเดิม 70g")</f>
        <v>เทพไทยยาสีฟันรสดั้งเดิม 70g</v>
      </c>
      <c r="H254" s="7">
        <f>IFERROR(__xludf.DUMMYFUNCTION("""COMPUTED_VALUE"""),105.0)</f>
        <v>105</v>
      </c>
      <c r="I254" s="7"/>
      <c r="J254" s="5"/>
    </row>
    <row r="255">
      <c r="A255" s="5">
        <f>IFERROR(__xludf.DUMMYFUNCTION("""COMPUTED_VALUE"""),4210002.0)</f>
        <v>4210002</v>
      </c>
      <c r="B255" s="6" t="str">
        <f>IFERROR(__xludf.DUMMYFUNCTION("""COMPUTED_VALUE"""),"4210002111090113")</f>
        <v>4210002111090113</v>
      </c>
      <c r="C255" s="5" t="str">
        <f>IFERROR(__xludf.DUMMYFUNCTION("""COMPUTED_VALUE"""),"ยาสีฟัน ชนิดครีม บรรจุหลอด \ ขนาด 150 กรัม \ ตราคอลเกต รุ่นยอดนิยม")</f>
        <v>ยาสีฟัน ชนิดครีม บรรจุหลอด \ ขนาด 150 กรัม \ ตราคอลเกต รุ่นยอดนิยม</v>
      </c>
      <c r="D255" s="5">
        <f>IFERROR(__xludf.DUMMYFUNCTION("""COMPUTED_VALUE"""),2.0)</f>
        <v>2</v>
      </c>
      <c r="E255" s="5">
        <f>IFERROR(__xludf.DUMMYFUNCTION("""COMPUTED_VALUE"""),3.0)</f>
        <v>3</v>
      </c>
      <c r="F255" s="5">
        <f>IFERROR(__xludf.DUMMYFUNCTION("""COMPUTED_VALUE"""),8.850006232019E12)</f>
        <v>8850006232019</v>
      </c>
      <c r="G255" s="5" t="str">
        <f>IFERROR(__xludf.DUMMYFUNCTION("""COMPUTED_VALUE"""),"คอลเกตยาสีฟันกล่องแดงยอดนิยม150g")</f>
        <v>คอลเกตยาสีฟันกล่องแดงยอดนิยม150g</v>
      </c>
      <c r="H255" s="7">
        <f>IFERROR(__xludf.DUMMYFUNCTION("""COMPUTED_VALUE"""),65.0)</f>
        <v>65</v>
      </c>
      <c r="I255" s="7"/>
      <c r="J255" s="5"/>
    </row>
    <row r="256">
      <c r="A256" s="5">
        <f>IFERROR(__xludf.DUMMYFUNCTION("""COMPUTED_VALUE"""),4210002.0)</f>
        <v>4210002</v>
      </c>
      <c r="B256" s="6" t="str">
        <f>IFERROR(__xludf.DUMMYFUNCTION("""COMPUTED_VALUE"""),"4210002111090111")</f>
        <v>4210002111090111</v>
      </c>
      <c r="C256" s="5" t="str">
        <f>IFERROR(__xludf.DUMMYFUNCTION("""COMPUTED_VALUE"""),"ยาสีฟัน ชนิดครีม บรรจุหลอด \ ขนาด 150 กรัม \ ตราคอลเกต รุ่นสูตรเกลือสมุนไพร")</f>
        <v>ยาสีฟัน ชนิดครีม บรรจุหลอด \ ขนาด 150 กรัม \ ตราคอลเกต รุ่นสูตรเกลือสมุนไพร</v>
      </c>
      <c r="D256" s="5">
        <f>IFERROR(__xludf.DUMMYFUNCTION("""COMPUTED_VALUE"""),1.0)</f>
        <v>1</v>
      </c>
      <c r="E256" s="5">
        <f>IFERROR(__xludf.DUMMYFUNCTION("""COMPUTED_VALUE"""),5.0)</f>
        <v>5</v>
      </c>
      <c r="F256" s="5">
        <f>IFERROR(__xludf.DUMMYFUNCTION("""COMPUTED_VALUE"""),8.850006322482E12)</f>
        <v>8850006322482</v>
      </c>
      <c r="G256" s="5" t="str">
        <f>IFERROR(__xludf.DUMMYFUNCTION("""COMPUTED_VALUE"""),"คอลเกตยาสีฟันซอลท์เฮอร์เบิล150g")</f>
        <v>คอลเกตยาสีฟันซอลท์เฮอร์เบิล150g</v>
      </c>
      <c r="H256" s="7">
        <f>IFERROR(__xludf.DUMMYFUNCTION("""COMPUTED_VALUE"""),60.0)</f>
        <v>60</v>
      </c>
      <c r="I256" s="7"/>
      <c r="J256" s="5" t="str">
        <f>IFERROR(__xludf.DUMMYFUNCTION("""COMPUTED_VALUE"""),"PROMOTION 7DAY รอบ 1-7 ต.ค. 69")</f>
        <v>PROMOTION 7DAY รอบ 1-7 ต.ค. 69</v>
      </c>
    </row>
    <row r="257">
      <c r="A257" s="5">
        <f>IFERROR(__xludf.DUMMYFUNCTION("""COMPUTED_VALUE"""),4210003.0)</f>
        <v>4210003</v>
      </c>
      <c r="B257" s="6" t="str">
        <f>IFERROR(__xludf.DUMMYFUNCTION("""COMPUTED_VALUE"""),"4210003111180303")</f>
        <v>4210003111180303</v>
      </c>
      <c r="C257" s="5" t="str">
        <f>IFERROR(__xludf.DUMMYFUNCTION("""COMPUTED_VALUE"""),"แชมพู ชนิดน้ำ บรรจุขวด \ ขนาด 140 มล.\ ตรา รีจอยส์ ริช สมูท")</f>
        <v>แชมพู ชนิดน้ำ บรรจุขวด \ ขนาด 140 มล.\ ตรา รีจอยส์ ริช สมูท</v>
      </c>
      <c r="D257" s="5">
        <f>IFERROR(__xludf.DUMMYFUNCTION("""COMPUTED_VALUE"""),3.0)</f>
        <v>3</v>
      </c>
      <c r="E257" s="5">
        <f>IFERROR(__xludf.DUMMYFUNCTION("""COMPUTED_VALUE"""),1.0)</f>
        <v>1</v>
      </c>
      <c r="F257" s="5">
        <f>IFERROR(__xludf.DUMMYFUNCTION("""COMPUTED_VALUE"""),4.987176048462E12)</f>
        <v>4987176048462</v>
      </c>
      <c r="G257" s="5" t="str">
        <f>IFERROR(__xludf.DUMMYFUNCTION("""COMPUTED_VALUE"""),"รีจอยส์แชมพูริช140ml")</f>
        <v>รีจอยส์แชมพูริช140ml</v>
      </c>
      <c r="H257" s="7">
        <f>IFERROR(__xludf.DUMMYFUNCTION("""COMPUTED_VALUE"""),39.0)</f>
        <v>39</v>
      </c>
      <c r="I257" s="7"/>
      <c r="J257" s="5"/>
    </row>
    <row r="258">
      <c r="A258" s="5">
        <f>IFERROR(__xludf.DUMMYFUNCTION("""COMPUTED_VALUE"""),4210003.0)</f>
        <v>4210003</v>
      </c>
      <c r="B258" s="6" t="str">
        <f>IFERROR(__xludf.DUMMYFUNCTION("""COMPUTED_VALUE"""),"4210003112000303")</f>
        <v>4210003112000303</v>
      </c>
      <c r="C258" s="5" t="str">
        <f>IFERROR(__xludf.DUMMYFUNCTION("""COMPUTED_VALUE"""),"แชมพู ชนิดน้ำ บรรจุขวดปั๊ม \ ขนาด 370 มล.\ ตรา ซันซิล สมูทแอนด์เมเนจ สูตรผมมีน้ำหนัก จัดทรงง่าย SMOOTH AND MANAGEABLE. (สีชมพู)")</f>
        <v>แชมพู ชนิดน้ำ บรรจุขวดปั๊ม \ ขนาด 370 มล.\ ตรา ซันซิล สมูทแอนด์เมเนจ สูตรผมมีน้ำหนัก จัดทรงง่าย SMOOTH AND MANAGEABLE. (สีชมพู)</v>
      </c>
      <c r="D258" s="5">
        <f>IFERROR(__xludf.DUMMYFUNCTION("""COMPUTED_VALUE"""),3.0)</f>
        <v>3</v>
      </c>
      <c r="E258" s="5">
        <f>IFERROR(__xludf.DUMMYFUNCTION("""COMPUTED_VALUE"""),2.0)</f>
        <v>2</v>
      </c>
      <c r="F258" s="5">
        <f>IFERROR(__xludf.DUMMYFUNCTION("""COMPUTED_VALUE"""),8.85193235383E12)</f>
        <v>8851932353830</v>
      </c>
      <c r="G258" s="5" t="str">
        <f>IFERROR(__xludf.DUMMYFUNCTION("""COMPUTED_VALUE"""),"ซันซิลแชมพูสมูทแอนด์เมเนจชมพู400/370ml")</f>
        <v>ซันซิลแชมพูสมูทแอนด์เมเนจชมพู400/370ml</v>
      </c>
      <c r="H258" s="7">
        <f>IFERROR(__xludf.DUMMYFUNCTION("""COMPUTED_VALUE"""),149.0)</f>
        <v>149</v>
      </c>
      <c r="I258" s="7">
        <f>IFERROR(__xludf.DUMMYFUNCTION("""COMPUTED_VALUE"""),109.0)</f>
        <v>109</v>
      </c>
      <c r="J258" s="5"/>
    </row>
    <row r="259">
      <c r="A259" s="5">
        <f>IFERROR(__xludf.DUMMYFUNCTION("""COMPUTED_VALUE"""),4210003.0)</f>
        <v>4210003</v>
      </c>
      <c r="B259" s="6" t="str">
        <f>IFERROR(__xludf.DUMMYFUNCTION("""COMPUTED_VALUE"""),"4210003111150401")</f>
        <v>4210003111150401</v>
      </c>
      <c r="C259" s="5" t="str">
        <f>IFERROR(__xludf.DUMMYFUNCTION("""COMPUTED_VALUE"""),"แชมพู ชนิดน้ำ บรรจุขวด \ ขนาด 170 มล.\ ตรา เคลียร์ ไอซ์คูล เมนทอล")</f>
        <v>แชมพู ชนิดน้ำ บรรจุขวด \ ขนาด 170 มล.\ ตรา เคลียร์ ไอซ์คูล เมนทอล</v>
      </c>
      <c r="D259" s="5">
        <f>IFERROR(__xludf.DUMMYFUNCTION("""COMPUTED_VALUE"""),1.0)</f>
        <v>1</v>
      </c>
      <c r="E259" s="5">
        <f>IFERROR(__xludf.DUMMYFUNCTION("""COMPUTED_VALUE"""),3.0)</f>
        <v>3</v>
      </c>
      <c r="F259" s="5"/>
      <c r="G259" s="5" t="str">
        <f>IFERROR(__xludf.DUMMYFUNCTION("""COMPUTED_VALUE"""),"เคลียร์แชมพูไอซ์คูลเมนทอล170ml")</f>
        <v>เคลียร์แชมพูไอซ์คูลเมนทอล170ml</v>
      </c>
      <c r="H259" s="7">
        <f>IFERROR(__xludf.DUMMYFUNCTION("""COMPUTED_VALUE"""),82.0)</f>
        <v>82</v>
      </c>
      <c r="I259" s="7"/>
      <c r="J259" s="5"/>
    </row>
    <row r="260">
      <c r="A260" s="5">
        <f>IFERROR(__xludf.DUMMYFUNCTION("""COMPUTED_VALUE"""),4210003.0)</f>
        <v>4210003</v>
      </c>
      <c r="B260" s="6" t="str">
        <f>IFERROR(__xludf.DUMMYFUNCTION("""COMPUTED_VALUE"""),"4210003111221101")</f>
        <v>4210003111221101</v>
      </c>
      <c r="C260" s="5" t="str">
        <f>IFERROR(__xludf.DUMMYFUNCTION("""COMPUTED_VALUE"""),"แชมพู ชนิดน้ำ บรรจุขวด \ ขนาด 120 มล.\ ตราซัลซิล Activ Infusion (คละสี/สูตร)")</f>
        <v>แชมพู ชนิดน้ำ บรรจุขวด \ ขนาด 120 มล.\ ตราซัลซิล Activ Infusion (คละสี/สูตร)</v>
      </c>
      <c r="D260" s="5">
        <f>IFERROR(__xludf.DUMMYFUNCTION("""COMPUTED_VALUE"""),1.0)</f>
        <v>1</v>
      </c>
      <c r="E260" s="5">
        <f>IFERROR(__xludf.DUMMYFUNCTION("""COMPUTED_VALUE"""),4.0)</f>
        <v>4</v>
      </c>
      <c r="F260" s="5">
        <f>IFERROR(__xludf.DUMMYFUNCTION("""COMPUTED_VALUE"""),8.851932354219E12)</f>
        <v>8851932354219</v>
      </c>
      <c r="G260" s="5" t="str">
        <f>IFERROR(__xludf.DUMMYFUNCTION("""COMPUTED_VALUE"""),"ซันซิลแชมพูสีส้ม120ml.")</f>
        <v>ซันซิลแชมพูสีส้ม120ml.</v>
      </c>
      <c r="H260" s="7">
        <f>IFERROR(__xludf.DUMMYFUNCTION("""COMPUTED_VALUE"""),42.0)</f>
        <v>42</v>
      </c>
      <c r="I260" s="7">
        <f>IFERROR(__xludf.DUMMYFUNCTION("""COMPUTED_VALUE"""),39.0)</f>
        <v>39</v>
      </c>
      <c r="J260" s="5"/>
    </row>
    <row r="261">
      <c r="A261" s="5">
        <f>IFERROR(__xludf.DUMMYFUNCTION("""COMPUTED_VALUE"""),4210003.0)</f>
        <v>4210003</v>
      </c>
      <c r="B261" s="6" t="str">
        <f>IFERROR(__xludf.DUMMYFUNCTION("""COMPUTED_VALUE"""),"4210003111610101")</f>
        <v>4210003111610101</v>
      </c>
      <c r="C261" s="5" t="str">
        <f>IFERROR(__xludf.DUMMYFUNCTION("""COMPUTED_VALUE"""),"แชมพู ชนิดน้ำ บรรจุขวดปั๊ม \ ขนาด 380 มล.\ ตราแพนทีน โปรวี แฮร์ฟอล คอนโทรล")</f>
        <v>แชมพู ชนิดน้ำ บรรจุขวดปั๊ม \ ขนาด 380 มล.\ ตราแพนทีน โปรวี แฮร์ฟอล คอนโทรล</v>
      </c>
      <c r="D261" s="5">
        <f>IFERROR(__xludf.DUMMYFUNCTION("""COMPUTED_VALUE"""),1.0)</f>
        <v>1</v>
      </c>
      <c r="E261" s="5">
        <f>IFERROR(__xludf.DUMMYFUNCTION("""COMPUTED_VALUE"""),5.0)</f>
        <v>5</v>
      </c>
      <c r="F261" s="5">
        <f>IFERROR(__xludf.DUMMYFUNCTION("""COMPUTED_VALUE"""),4.902430412988E12)</f>
        <v>4902430412988</v>
      </c>
      <c r="G261" s="5" t="str">
        <f>IFERROR(__xludf.DUMMYFUNCTION("""COMPUTED_VALUE"""),"แพนทีนแชมพูแฮร์ฟอลคอนโทรล380ml")</f>
        <v>แพนทีนแชมพูแฮร์ฟอลคอนโทรล380ml</v>
      </c>
      <c r="H261" s="7">
        <f>IFERROR(__xludf.DUMMYFUNCTION("""COMPUTED_VALUE"""),189.0)</f>
        <v>189</v>
      </c>
      <c r="I261" s="7">
        <f>IFERROR(__xludf.DUMMYFUNCTION("""COMPUTED_VALUE"""),149.0)</f>
        <v>149</v>
      </c>
      <c r="J261" s="5" t="str">
        <f>IFERROR(__xludf.DUMMYFUNCTION("""COMPUTED_VALUE"""),"PROMOTION MAIL (รอบ 25 ก.ย. - 24 ต.ค. 69)")</f>
        <v>PROMOTION MAIL (รอบ 25 ก.ย. - 24 ต.ค. 69)</v>
      </c>
    </row>
    <row r="262">
      <c r="A262" s="5">
        <f>IFERROR(__xludf.DUMMYFUNCTION("""COMPUTED_VALUE"""),4210003.0)</f>
        <v>4210003</v>
      </c>
      <c r="B262" s="6" t="str">
        <f>IFERROR(__xludf.DUMMYFUNCTION("""COMPUTED_VALUE"""),"4210003112000101")</f>
        <v>4210003112000101</v>
      </c>
      <c r="C262" s="5" t="str">
        <f>IFERROR(__xludf.DUMMYFUNCTION("""COMPUTED_VALUE"""),"แชมพู ชนิดน้ำ บรรจุขวดปั๊ม \ ขนาด 370 มล.\ ตรารีจอยส์ ริช สมูท ผมนุ่มลื่น 48 ชั่วโมง 48 - HOUR rich smooth")</f>
        <v>แชมพู ชนิดน้ำ บรรจุขวดปั๊ม \ ขนาด 370 มล.\ ตรารีจอยส์ ริช สมูท ผมนุ่มลื่น 48 ชั่วโมง 48 - HOUR rich smooth</v>
      </c>
      <c r="D262" s="5">
        <f>IFERROR(__xludf.DUMMYFUNCTION("""COMPUTED_VALUE"""),1.0)</f>
        <v>1</v>
      </c>
      <c r="E262" s="5">
        <f>IFERROR(__xludf.DUMMYFUNCTION("""COMPUTED_VALUE"""),6.0)</f>
        <v>6</v>
      </c>
      <c r="F262" s="5">
        <f>IFERROR(__xludf.DUMMYFUNCTION("""COMPUTED_VALUE"""),4.902430677141E12)</f>
        <v>4902430677141</v>
      </c>
      <c r="G262" s="5" t="str">
        <f>IFERROR(__xludf.DUMMYFUNCTION("""COMPUTED_VALUE"""),"รีจอยส์แชมพูริช370ml")</f>
        <v>รีจอยส์แชมพูริช370ml</v>
      </c>
      <c r="H262" s="7">
        <f>IFERROR(__xludf.DUMMYFUNCTION("""COMPUTED_VALUE"""),165.0)</f>
        <v>165</v>
      </c>
      <c r="I262" s="7"/>
      <c r="J262" s="5"/>
    </row>
    <row r="263">
      <c r="A263" s="5">
        <f>IFERROR(__xludf.DUMMYFUNCTION("""COMPUTED_VALUE"""),4210004.0)</f>
        <v>4210004</v>
      </c>
      <c r="B263" s="6" t="str">
        <f>IFERROR(__xludf.DUMMYFUNCTION("""COMPUTED_VALUE"""),"4210004211120180")</f>
        <v>4210004211120180</v>
      </c>
      <c r="C263" s="5" t="str">
        <f>IFERROR(__xludf.DUMMYFUNCTION("""COMPUTED_VALUE"""),"น้ำมันใส่ผม ชนิดน้ำ บรรจุขวด \ ขนาด 40 มล.\ ตรา FREE &amp; FREE")</f>
        <v>น้ำมันใส่ผม ชนิดน้ำ บรรจุขวด \ ขนาด 40 มล.\ ตรา FREE &amp; FREE</v>
      </c>
      <c r="D263" s="5">
        <f>IFERROR(__xludf.DUMMYFUNCTION("""COMPUTED_VALUE"""),3.0)</f>
        <v>3</v>
      </c>
      <c r="E263" s="5">
        <f>IFERROR(__xludf.DUMMYFUNCTION("""COMPUTED_VALUE"""),1.0)</f>
        <v>1</v>
      </c>
      <c r="F263" s="5">
        <f>IFERROR(__xludf.DUMMYFUNCTION("""COMPUTED_VALUE"""),8.85000201927E12)</f>
        <v>8850002019270</v>
      </c>
      <c r="G263" s="5" t="str">
        <f>IFERROR(__xludf.DUMMYFUNCTION("""COMPUTED_VALUE"""),"ฟรีแอนด์ฟรีเซรั่มผมเสีย40ml")</f>
        <v>ฟรีแอนด์ฟรีเซรั่มผมเสีย40ml</v>
      </c>
      <c r="H263" s="7">
        <f>IFERROR(__xludf.DUMMYFUNCTION("""COMPUTED_VALUE"""),49.0)</f>
        <v>49</v>
      </c>
      <c r="I263" s="7">
        <f>IFERROR(__xludf.DUMMYFUNCTION("""COMPUTED_VALUE"""),39.0)</f>
        <v>39</v>
      </c>
      <c r="J263" s="5" t="str">
        <f>IFERROR(__xludf.DUMMYFUNCTION("""COMPUTED_VALUE"""),"PROMOTION MAIL (รอบ 25 ก.ย. - 24 ต.ค. 69)")</f>
        <v>PROMOTION MAIL (รอบ 25 ก.ย. - 24 ต.ค. 69)</v>
      </c>
    </row>
    <row r="264">
      <c r="A264" s="5">
        <f>IFERROR(__xludf.DUMMYFUNCTION("""COMPUTED_VALUE"""),4210004.0)</f>
        <v>4210004</v>
      </c>
      <c r="B264" s="6" t="str">
        <f>IFERROR(__xludf.DUMMYFUNCTION("""COMPUTED_VALUE"""),"4210004211100501")</f>
        <v>4210004211100501</v>
      </c>
      <c r="C264" s="5" t="str">
        <f>IFERROR(__xludf.DUMMYFUNCTION("""COMPUTED_VALUE"""),"น้ำมันใส่ผม ชนิดน้ำ บรรจุขวด \ ขนาด 50 กรัม\ ตรา Lolane Nature daily hair")</f>
        <v>น้ำมันใส่ผม ชนิดน้ำ บรรจุขวด \ ขนาด 50 กรัม\ ตรา Lolane Nature daily hair</v>
      </c>
      <c r="D264" s="5">
        <f>IFERROR(__xludf.DUMMYFUNCTION("""COMPUTED_VALUE"""),2.0)</f>
        <v>2</v>
      </c>
      <c r="E264" s="5">
        <f>IFERROR(__xludf.DUMMYFUNCTION("""COMPUTED_VALUE"""),2.0)</f>
        <v>2</v>
      </c>
      <c r="F264" s="5">
        <f>IFERROR(__xludf.DUMMYFUNCTION("""COMPUTED_VALUE"""),8.850460990654E12)</f>
        <v>8850460990654</v>
      </c>
      <c r="G264" s="5" t="str">
        <f>IFERROR(__xludf.DUMMYFUNCTION("""COMPUTED_VALUE"""),"โลแลนเซรั่มเนทูร่าเดลี่ผมเสีย50ml")</f>
        <v>โลแลนเซรั่มเนทูร่าเดลี่ผมเสีย50ml</v>
      </c>
      <c r="H264" s="7">
        <f>IFERROR(__xludf.DUMMYFUNCTION("""COMPUTED_VALUE"""),95.0)</f>
        <v>95</v>
      </c>
      <c r="I264" s="7"/>
      <c r="J264" s="5"/>
    </row>
    <row r="265">
      <c r="A265" s="5">
        <f>IFERROR(__xludf.DUMMYFUNCTION("""COMPUTED_VALUE"""),4210004.0)</f>
        <v>4210004</v>
      </c>
      <c r="B265" s="6" t="str">
        <f>IFERROR(__xludf.DUMMYFUNCTION("""COMPUTED_VALUE"""),"4210004211012401")</f>
        <v>4210004211012401</v>
      </c>
      <c r="C265" s="5" t="str">
        <f>IFERROR(__xludf.DUMMYFUNCTION("""COMPUTED_VALUE"""),"น้ำมันใส่ผม ชนิดน้ำ บรรจุขวด \ ขนาด 85 มล.\ ตรา บัวหลวง")</f>
        <v>น้ำมันใส่ผม ชนิดน้ำ บรรจุขวด \ ขนาด 85 มล.\ ตรา บัวหลวง</v>
      </c>
      <c r="D265" s="5">
        <f>IFERROR(__xludf.DUMMYFUNCTION("""COMPUTED_VALUE"""),1.0)</f>
        <v>1</v>
      </c>
      <c r="E265" s="5">
        <f>IFERROR(__xludf.DUMMYFUNCTION("""COMPUTED_VALUE"""),3.0)</f>
        <v>3</v>
      </c>
      <c r="F265" s="5">
        <f>IFERROR(__xludf.DUMMYFUNCTION("""COMPUTED_VALUE"""),8.851062136488E12)</f>
        <v>8851062136488</v>
      </c>
      <c r="G265" s="5" t="str">
        <f>IFERROR(__xludf.DUMMYFUNCTION("""COMPUTED_VALUE"""),"บัวหลวงเซรั่มซิลกี้แฮร์โค้ทสีชมพู85ml")</f>
        <v>บัวหลวงเซรั่มซิลกี้แฮร์โค้ทสีชมพู85ml</v>
      </c>
      <c r="H265" s="7">
        <f>IFERROR(__xludf.DUMMYFUNCTION("""COMPUTED_VALUE"""),95.0)</f>
        <v>95</v>
      </c>
      <c r="I265" s="7"/>
      <c r="J265" s="5"/>
    </row>
    <row r="266">
      <c r="A266" s="5">
        <f>IFERROR(__xludf.DUMMYFUNCTION("""COMPUTED_VALUE"""),4210004.0)</f>
        <v>4210004</v>
      </c>
      <c r="B266" s="6" t="str">
        <f>IFERROR(__xludf.DUMMYFUNCTION("""COMPUTED_VALUE"""),"4210004311060101")</f>
        <v>4210004311060101</v>
      </c>
      <c r="C266" s="5" t="str">
        <f>IFERROR(__xludf.DUMMYFUNCTION("""COMPUTED_VALUE"""),"น้ำมันใส่ผม ชนิดน้ำ บรรจุขวด \ ขนาด 50 กรัม\ ตรา Lolane Nature daily hair")</f>
        <v>น้ำมันใส่ผม ชนิดน้ำ บรรจุขวด \ ขนาด 50 กรัม\ ตรา Lolane Nature daily hair</v>
      </c>
      <c r="D266" s="5">
        <f>IFERROR(__xludf.DUMMYFUNCTION("""COMPUTED_VALUE"""),1.0)</f>
        <v>1</v>
      </c>
      <c r="E266" s="5">
        <f>IFERROR(__xludf.DUMMYFUNCTION("""COMPUTED_VALUE"""),4.0)</f>
        <v>4</v>
      </c>
      <c r="F266" s="5">
        <f>IFERROR(__xludf.DUMMYFUNCTION("""COMPUTED_VALUE"""),8.850460983052E12)</f>
        <v>8850460983052</v>
      </c>
      <c r="G266" s="5" t="str">
        <f>IFERROR(__xludf.DUMMYFUNCTION("""COMPUTED_VALUE"""),"PM_โลแลนเซรั่มเนทูร่าเดลี่ออลแฮรไทป50ml")</f>
        <v>PM_โลแลนเซรั่มเนทูร่าเดลี่ออลแฮรไทป50ml</v>
      </c>
      <c r="H266" s="7">
        <f>IFERROR(__xludf.DUMMYFUNCTION("""COMPUTED_VALUE"""),95.0)</f>
        <v>95</v>
      </c>
      <c r="I266" s="7"/>
      <c r="J266" s="5"/>
    </row>
    <row r="267">
      <c r="A267" s="5">
        <f>IFERROR(__xludf.DUMMYFUNCTION("""COMPUTED_VALUE"""),4210004.0)</f>
        <v>4210004</v>
      </c>
      <c r="B267" s="6" t="str">
        <f>IFERROR(__xludf.DUMMYFUNCTION("""COMPUTED_VALUE"""),"4210004222020103")</f>
        <v>4210004222020103</v>
      </c>
      <c r="C267" s="5" t="str">
        <f>IFERROR(__xludf.DUMMYFUNCTION("""COMPUTED_VALUE"""),"น้ำมันใส่ผม ชนิดน้ำ บรรจุขวด \ ขนาด 40 มล.\ ตรา Free&amp;Free")</f>
        <v>น้ำมันใส่ผม ชนิดน้ำ บรรจุขวด \ ขนาด 40 มล.\ ตรา Free&amp;Free</v>
      </c>
      <c r="D267" s="5">
        <f>IFERROR(__xludf.DUMMYFUNCTION("""COMPUTED_VALUE"""),1.0)</f>
        <v>1</v>
      </c>
      <c r="E267" s="5">
        <f>IFERROR(__xludf.DUMMYFUNCTION("""COMPUTED_VALUE"""),5.0)</f>
        <v>5</v>
      </c>
      <c r="F267" s="5">
        <f>IFERROR(__xludf.DUMMYFUNCTION("""COMPUTED_VALUE"""),8.85000201927E12)</f>
        <v>8850002019270</v>
      </c>
      <c r="G267" s="5" t="str">
        <f>IFERROR(__xludf.DUMMYFUNCTION("""COMPUTED_VALUE"""),"ฟรีแอนด์ฟรีเซรั่มผมเสีย40ml")</f>
        <v>ฟรีแอนด์ฟรีเซรั่มผมเสีย40ml</v>
      </c>
      <c r="H267" s="7">
        <f>IFERROR(__xludf.DUMMYFUNCTION("""COMPUTED_VALUE"""),49.0)</f>
        <v>49</v>
      </c>
      <c r="I267" s="7">
        <f>IFERROR(__xludf.DUMMYFUNCTION("""COMPUTED_VALUE"""),39.0)</f>
        <v>39</v>
      </c>
      <c r="J267" s="5" t="str">
        <f>IFERROR(__xludf.DUMMYFUNCTION("""COMPUTED_VALUE"""),"PROMOTION MAIL (รอบ 25 ก.ย. - 24 ต.ค. 69)")</f>
        <v>PROMOTION MAIL (รอบ 25 ก.ย. - 24 ต.ค. 69)</v>
      </c>
    </row>
    <row r="268">
      <c r="A268" s="5">
        <f>IFERROR(__xludf.DUMMYFUNCTION("""COMPUTED_VALUE"""),4210005.0)</f>
        <v>4210005</v>
      </c>
      <c r="B268" s="6" t="str">
        <f>IFERROR(__xludf.DUMMYFUNCTION("""COMPUTED_VALUE"""),"4210005121020101")</f>
        <v>4210005121020101</v>
      </c>
      <c r="C268" s="5" t="str">
        <f>IFERROR(__xludf.DUMMYFUNCTION("""COMPUTED_VALUE"""),"น้ำหอม โคโลญ ชนิดน้ำ มีหัวฉีด บรรจุขวด \ขนาด 50 มล. \ ตรา TROSS")</f>
        <v>น้ำหอม โคโลญ ชนิดน้ำ มีหัวฉีด บรรจุขวด \ขนาด 50 มล. \ ตรา TROSS</v>
      </c>
      <c r="D268" s="5">
        <f>IFERROR(__xludf.DUMMYFUNCTION("""COMPUTED_VALUE"""),1.0)</f>
        <v>1</v>
      </c>
      <c r="E268" s="5">
        <f>IFERROR(__xludf.DUMMYFUNCTION("""COMPUTED_VALUE"""),2.0)</f>
        <v>2</v>
      </c>
      <c r="F268" s="5">
        <f>IFERROR(__xludf.DUMMYFUNCTION("""COMPUTED_VALUE"""),8.851989021454E12)</f>
        <v>8851989021454</v>
      </c>
      <c r="G268" s="5" t="str">
        <f>IFERROR(__xludf.DUMMYFUNCTION("""COMPUTED_VALUE"""),"ทรอสโคโลญสปอร์ตดำ50ml")</f>
        <v>ทรอสโคโลญสปอร์ตดำ50ml</v>
      </c>
      <c r="H268" s="7">
        <f>IFERROR(__xludf.DUMMYFUNCTION("""COMPUTED_VALUE"""),56.0)</f>
        <v>56</v>
      </c>
      <c r="I268" s="7">
        <f>IFERROR(__xludf.DUMMYFUNCTION("""COMPUTED_VALUE"""),49.0)</f>
        <v>49</v>
      </c>
      <c r="J268" s="5" t="str">
        <f>IFERROR(__xludf.DUMMYFUNCTION("""COMPUTED_VALUE"""),"PROMOTION MAIL (รอบ 25 ก.ย. - 24 ต.ค. 69)")</f>
        <v>PROMOTION MAIL (รอบ 25 ก.ย. - 24 ต.ค. 69)</v>
      </c>
    </row>
    <row r="269">
      <c r="A269" s="5">
        <f>IFERROR(__xludf.DUMMYFUNCTION("""COMPUTED_VALUE"""),4210005.0)</f>
        <v>4210005</v>
      </c>
      <c r="B269" s="6" t="str">
        <f>IFERROR(__xludf.DUMMYFUNCTION("""COMPUTED_VALUE"""),"4210005121020106")</f>
        <v>4210005121020106</v>
      </c>
      <c r="C269" s="5" t="str">
        <f>IFERROR(__xludf.DUMMYFUNCTION("""COMPUTED_VALUE"""),"น้ำหอม โคโลญ ชนิดน้ำ มีหัวฉีด บรรจุขวด \ขนาด 50 มล. \ ตรา TROSS Blue code")</f>
        <v>น้ำหอม โคโลญ ชนิดน้ำ มีหัวฉีด บรรจุขวด \ขนาด 50 มล. \ ตรา TROSS Blue code</v>
      </c>
      <c r="D269" s="5">
        <f>IFERROR(__xludf.DUMMYFUNCTION("""COMPUTED_VALUE"""),1.0)</f>
        <v>1</v>
      </c>
      <c r="E269" s="5">
        <f>IFERROR(__xludf.DUMMYFUNCTION("""COMPUTED_VALUE"""),7.0)</f>
        <v>7</v>
      </c>
      <c r="F269" s="5">
        <f>IFERROR(__xludf.DUMMYFUNCTION("""COMPUTED_VALUE"""),8.851989020914E12)</f>
        <v>8851989020914</v>
      </c>
      <c r="G269" s="5" t="str">
        <f>IFERROR(__xludf.DUMMYFUNCTION("""COMPUTED_VALUE"""),"ทรอสโคโลญบลูโคด50ml")</f>
        <v>ทรอสโคโลญบลูโคด50ml</v>
      </c>
      <c r="H269" s="7">
        <f>IFERROR(__xludf.DUMMYFUNCTION("""COMPUTED_VALUE"""),56.0)</f>
        <v>56</v>
      </c>
      <c r="I269" s="7">
        <f>IFERROR(__xludf.DUMMYFUNCTION("""COMPUTED_VALUE"""),49.0)</f>
        <v>49</v>
      </c>
      <c r="J269" s="5" t="str">
        <f>IFERROR(__xludf.DUMMYFUNCTION("""COMPUTED_VALUE"""),"PROMOTION MAIL (รอบ 25 ก.ย. - 24 ต.ค. 69)")</f>
        <v>PROMOTION MAIL (รอบ 25 ก.ย. - 24 ต.ค. 69)</v>
      </c>
    </row>
    <row r="270">
      <c r="A270" s="5">
        <f>IFERROR(__xludf.DUMMYFUNCTION("""COMPUTED_VALUE"""),4210007.0)</f>
        <v>4210007</v>
      </c>
      <c r="B270" s="6" t="str">
        <f>IFERROR(__xludf.DUMMYFUNCTION("""COMPUTED_VALUE"""),"4210007111020301")</f>
        <v>4210007111020301</v>
      </c>
      <c r="C270" s="5" t="str">
        <f>IFERROR(__xludf.DUMMYFUNCTION("""COMPUTED_VALUE"""),"ลิปสติก ชนิดมัน บรรจุแท่ง \ ขนาด 3.5 กรัม \ตรา เคเอ ลิปแคร์ กลิ่นสตรอเบอร์รี่")</f>
        <v>ลิปสติก ชนิดมัน บรรจุแท่ง \ ขนาด 3.5 กรัม \ตรา เคเอ ลิปแคร์ กลิ่นสตรอเบอร์รี่</v>
      </c>
      <c r="D270" s="5">
        <f>IFERROR(__xludf.DUMMYFUNCTION("""COMPUTED_VALUE"""),4.0)</f>
        <v>4</v>
      </c>
      <c r="E270" s="5">
        <f>IFERROR(__xludf.DUMMYFUNCTION("""COMPUTED_VALUE"""),1.0)</f>
        <v>1</v>
      </c>
      <c r="F270" s="5">
        <f>IFERROR(__xludf.DUMMYFUNCTION("""COMPUTED_VALUE"""),8.850822070147E12)</f>
        <v>8850822070147</v>
      </c>
      <c r="G270" s="5" t="str">
        <f>IFERROR(__xludf.DUMMYFUNCTION("""COMPUTED_VALUE"""),"เคเอลิปแคร์สตรอเบอร์รี่ 3.5g")</f>
        <v>เคเอลิปแคร์สตรอเบอร์รี่ 3.5g</v>
      </c>
      <c r="H270" s="7">
        <f>IFERROR(__xludf.DUMMYFUNCTION("""COMPUTED_VALUE"""),45.0)</f>
        <v>45</v>
      </c>
      <c r="I270" s="7"/>
      <c r="J270" s="5"/>
    </row>
    <row r="271">
      <c r="A271" s="5">
        <f>IFERROR(__xludf.DUMMYFUNCTION("""COMPUTED_VALUE"""),4210007.0)</f>
        <v>4210007</v>
      </c>
      <c r="B271" s="6" t="str">
        <f>IFERROR(__xludf.DUMMYFUNCTION("""COMPUTED_VALUE"""),"4210007111030217")</f>
        <v>4210007111030217</v>
      </c>
      <c r="C271" s="5" t="str">
        <f>IFERROR(__xludf.DUMMYFUNCTION("""COMPUTED_VALUE"""),"ลิปสติก ชนิดมัน บรรจุแท่ง \ ขนาด 4.8 กรัม \ ตรา NEVEA นีเวีย รุ่น ออริจินอล มอยส์เจอร์ แคร์ (สีน้ำเงินฝาขาว)")</f>
        <v>ลิปสติก ชนิดมัน บรรจุแท่ง \ ขนาด 4.8 กรัม \ ตรา NEVEA นีเวีย รุ่น ออริจินอล มอยส์เจอร์ แคร์ (สีน้ำเงินฝาขาว)</v>
      </c>
      <c r="D271" s="5">
        <f>IFERROR(__xludf.DUMMYFUNCTION("""COMPUTED_VALUE"""),3.0)</f>
        <v>3</v>
      </c>
      <c r="E271" s="5">
        <f>IFERROR(__xludf.DUMMYFUNCTION("""COMPUTED_VALUE"""),2.0)</f>
        <v>2</v>
      </c>
      <c r="F271" s="5">
        <f>IFERROR(__xludf.DUMMYFUNCTION("""COMPUTED_VALUE"""),8.850029850009E12)</f>
        <v>8850029850009</v>
      </c>
      <c r="G271" s="5" t="str">
        <f>IFERROR(__xludf.DUMMYFUNCTION("""COMPUTED_VALUE"""),"นีเวียลิปแคร์ออริจินัลแคร์4.8g")</f>
        <v>นีเวียลิปแคร์ออริจินัลแคร์4.8g</v>
      </c>
      <c r="H271" s="7">
        <f>IFERROR(__xludf.DUMMYFUNCTION("""COMPUTED_VALUE"""),105.0)</f>
        <v>105</v>
      </c>
      <c r="I271" s="7"/>
      <c r="J271" s="5"/>
    </row>
    <row r="272">
      <c r="A272" s="5">
        <f>IFERROR(__xludf.DUMMYFUNCTION("""COMPUTED_VALUE"""),4210007.0)</f>
        <v>4210007</v>
      </c>
      <c r="B272" s="6" t="str">
        <f>IFERROR(__xludf.DUMMYFUNCTION("""COMPUTED_VALUE"""),"4210007111100101")</f>
        <v>4210007111100101</v>
      </c>
      <c r="C272" s="5" t="str">
        <f>IFERROR(__xludf.DUMMYFUNCTION("""COMPUTED_VALUE"""),"ลิปสติก ชนิดมัน บรรจุแท่ง \ ขนาด 2.2 กรัม \ ตรา เค.เอ. เมจิกลิป")</f>
        <v>ลิปสติก ชนิดมัน บรรจุแท่ง \ ขนาด 2.2 กรัม \ ตรา เค.เอ. เมจิกลิป</v>
      </c>
      <c r="D272" s="5">
        <f>IFERROR(__xludf.DUMMYFUNCTION("""COMPUTED_VALUE"""),1.0)</f>
        <v>1</v>
      </c>
      <c r="E272" s="5">
        <f>IFERROR(__xludf.DUMMYFUNCTION("""COMPUTED_VALUE"""),5.0)</f>
        <v>5</v>
      </c>
      <c r="F272" s="5">
        <f>IFERROR(__xludf.DUMMYFUNCTION("""COMPUTED_VALUE"""),8.850822070222E12)</f>
        <v>8850822070222</v>
      </c>
      <c r="G272" s="5" t="str">
        <f>IFERROR(__xludf.DUMMYFUNCTION("""COMPUTED_VALUE"""),"เคเอลิปบาล์มเมจิกเปลี่ยนสีสตอเบอรี่ 2.2g")</f>
        <v>เคเอลิปบาล์มเมจิกเปลี่ยนสีสตอเบอรี่ 2.2g</v>
      </c>
      <c r="H272" s="7">
        <f>IFERROR(__xludf.DUMMYFUNCTION("""COMPUTED_VALUE"""),65.0)</f>
        <v>65</v>
      </c>
      <c r="I272" s="7"/>
      <c r="J272" s="5"/>
    </row>
    <row r="273">
      <c r="A273" s="5">
        <f>IFERROR(__xludf.DUMMYFUNCTION("""COMPUTED_VALUE"""),4210008.0)</f>
        <v>4210008</v>
      </c>
      <c r="B273" s="6" t="str">
        <f>IFERROR(__xludf.DUMMYFUNCTION("""COMPUTED_VALUE"""),"4210008312010204")</f>
        <v>4210008312010204</v>
      </c>
      <c r="C273" s="5" t="str">
        <f>IFERROR(__xludf.DUMMYFUNCTION("""COMPUTED_VALUE"""),"ผลิตภัณฑ์ป้องกันและบำรุงผิว บรรจุขวดปั๋ม ปริมาณ 320 มล. ตรา CITRA AHA Pearl UV Lotion ซิตร้า เอเอชเอ เพิร์ล ยูวี โลชั่น")</f>
        <v>ผลิตภัณฑ์ป้องกันและบำรุงผิว บรรจุขวดปั๋ม ปริมาณ 320 มล. ตรา CITRA AHA Pearl UV Lotion ซิตร้า เอเอชเอ เพิร์ล ยูวี โลชั่น</v>
      </c>
      <c r="D273" s="5">
        <f>IFERROR(__xludf.DUMMYFUNCTION("""COMPUTED_VALUE"""),3.0)</f>
        <v>3</v>
      </c>
      <c r="E273" s="5">
        <f>IFERROR(__xludf.DUMMYFUNCTION("""COMPUTED_VALUE"""),1.0)</f>
        <v>1</v>
      </c>
      <c r="F273" s="5">
        <f>IFERROR(__xludf.DUMMYFUNCTION("""COMPUTED_VALUE"""),8.851932471947E12)</f>
        <v>8851932471947</v>
      </c>
      <c r="G273" s="5" t="str">
        <f>IFERROR(__xludf.DUMMYFUNCTION("""COMPUTED_VALUE"""),"ซิตร้าAHAเพิร์ลโลชั่น 320ml")</f>
        <v>ซิตร้าAHAเพิร์ลโลชั่น 320ml</v>
      </c>
      <c r="H273" s="7">
        <f>IFERROR(__xludf.DUMMYFUNCTION("""COMPUTED_VALUE"""),165.0)</f>
        <v>165</v>
      </c>
      <c r="I273" s="7">
        <f>IFERROR(__xludf.DUMMYFUNCTION("""COMPUTED_VALUE"""),119.0)</f>
        <v>119</v>
      </c>
      <c r="J273" s="5" t="str">
        <f>IFERROR(__xludf.DUMMYFUNCTION("""COMPUTED_VALUE"""),"PROMOTION MAIL (รอบ 25 ก.ย. - 24 ต.ค. 69)")</f>
        <v>PROMOTION MAIL (รอบ 25 ก.ย. - 24 ต.ค. 69)</v>
      </c>
    </row>
    <row r="274">
      <c r="A274" s="5">
        <f>IFERROR(__xludf.DUMMYFUNCTION("""COMPUTED_VALUE"""),4210008.0)</f>
        <v>4210008</v>
      </c>
      <c r="B274" s="6" t="str">
        <f>IFERROR(__xludf.DUMMYFUNCTION("""COMPUTED_VALUE"""),"4210008311070501")</f>
        <v>4210008311070501</v>
      </c>
      <c r="C274" s="5" t="str">
        <f>IFERROR(__xludf.DUMMYFUNCTION("""COMPUTED_VALUE"""),"ผลิตภัณฑ์ป้องกันและบำรุงผิว ครีมกันแดด ชนิดครีม บรรจุขวด SPF50 PA+++\ ปริมาณสุทธิ 50 มล. \ตราKA UVไวท์เทนนิ่ง")</f>
        <v>ผลิตภัณฑ์ป้องกันและบำรุงผิว ครีมกันแดด ชนิดครีม บรรจุขวด SPF50 PA+++\ ปริมาณสุทธิ 50 มล. \ตราKA UVไวท์เทนนิ่ง</v>
      </c>
      <c r="D274" s="5">
        <f>IFERROR(__xludf.DUMMYFUNCTION("""COMPUTED_VALUE"""),2.0)</f>
        <v>2</v>
      </c>
      <c r="E274" s="5">
        <f>IFERROR(__xludf.DUMMYFUNCTION("""COMPUTED_VALUE"""),2.0)</f>
        <v>2</v>
      </c>
      <c r="F274" s="5">
        <f>IFERROR(__xludf.DUMMYFUNCTION("""COMPUTED_VALUE"""),8.850822111031E12)</f>
        <v>8850822111031</v>
      </c>
      <c r="G274" s="5" t="str">
        <f>IFERROR(__xludf.DUMMYFUNCTION("""COMPUTED_VALUE"""),"KA UV Protection Whitening Cream SPF 50")</f>
        <v>KA UV Protection Whitening Cream SPF 50</v>
      </c>
      <c r="H274" s="7"/>
      <c r="I274" s="7"/>
      <c r="J274" s="5"/>
    </row>
    <row r="275">
      <c r="A275" s="5">
        <f>IFERROR(__xludf.DUMMYFUNCTION("""COMPUTED_VALUE"""),4210008.0)</f>
        <v>4210008</v>
      </c>
      <c r="B275" s="6" t="str">
        <f>IFERROR(__xludf.DUMMYFUNCTION("""COMPUTED_VALUE"""),"4210008111040301")</f>
        <v>4210008111040301</v>
      </c>
      <c r="C275" s="5" t="str">
        <f>IFERROR(__xludf.DUMMYFUNCTION("""COMPUTED_VALUE"""),"ผลิตภัณฑ์ป้องกันและบำรุงผิว ครีมบำรุงผิว ชนิดโลชั่น บรรจุขวด \ขนาด 150 มล. ตราเภสัช")</f>
        <v>ผลิตภัณฑ์ป้องกันและบำรุงผิว ครีมบำรุงผิว ชนิดโลชั่น บรรจุขวด \ขนาด 150 มล. ตราเภสัช</v>
      </c>
      <c r="D275" s="5">
        <f>IFERROR(__xludf.DUMMYFUNCTION("""COMPUTED_VALUE"""),2.0)</f>
        <v>2</v>
      </c>
      <c r="E275" s="5">
        <f>IFERROR(__xludf.DUMMYFUNCTION("""COMPUTED_VALUE"""),3.0)</f>
        <v>3</v>
      </c>
      <c r="F275" s="5">
        <f>IFERROR(__xludf.DUMMYFUNCTION("""COMPUTED_VALUE"""),8.850233260274E12)</f>
        <v>8850233260274</v>
      </c>
      <c r="G275" s="5" t="str">
        <f>IFERROR(__xludf.DUMMYFUNCTION("""COMPUTED_VALUE"""),"เภสัชโลชั่นไวท์คอลลาเจน150ml")</f>
        <v>เภสัชโลชั่นไวท์คอลลาเจน150ml</v>
      </c>
      <c r="H275" s="7">
        <f>IFERROR(__xludf.DUMMYFUNCTION("""COMPUTED_VALUE"""),33.0)</f>
        <v>33</v>
      </c>
      <c r="I275" s="7"/>
      <c r="J275" s="5"/>
    </row>
    <row r="276">
      <c r="A276" s="5">
        <f>IFERROR(__xludf.DUMMYFUNCTION("""COMPUTED_VALUE"""),4210008.0)</f>
        <v>4210008</v>
      </c>
      <c r="B276" s="6" t="str">
        <f>IFERROR(__xludf.DUMMYFUNCTION("""COMPUTED_VALUE"""),"4210008211020619")</f>
        <v>4210008211020619</v>
      </c>
      <c r="C276" s="5" t="str">
        <f>IFERROR(__xludf.DUMMYFUNCTION("""COMPUTED_VALUE"""),"ผลิตภัณฑ์ป้องกันและบำรุงผิว ไนท์ครีม ชนิดครีม\ขนาด 45 มล.ตรา Pond's age miracle พอนด์ส เอจ มิราเคิล อัลทิเมท ยูธ ไนท์ ครีม เฮ็กซิล-เรตินอล")</f>
        <v>ผลิตภัณฑ์ป้องกันและบำรุงผิว ไนท์ครีม ชนิดครีม\ขนาด 45 มล.ตรา Pond's age miracle พอนด์ส เอจ มิราเคิล อัลทิเมท ยูธ ไนท์ ครีม เฮ็กซิล-เรตินอล</v>
      </c>
      <c r="D276" s="5">
        <f>IFERROR(__xludf.DUMMYFUNCTION("""COMPUTED_VALUE"""),2.0)</f>
        <v>2</v>
      </c>
      <c r="E276" s="5">
        <f>IFERROR(__xludf.DUMMYFUNCTION("""COMPUTED_VALUE"""),4.0)</f>
        <v>4</v>
      </c>
      <c r="F276" s="5">
        <f>IFERROR(__xludf.DUMMYFUNCTION("""COMPUTED_VALUE"""),8.999999059927E12)</f>
        <v>8999999059927</v>
      </c>
      <c r="G276" s="5" t="str">
        <f>IFERROR(__xludf.DUMMYFUNCTION("""COMPUTED_VALUE"""),"พอนด์สเดย์ครีมเอจมิราเคิล45g")</f>
        <v>พอนด์สเดย์ครีมเอจมิราเคิล45g</v>
      </c>
      <c r="H276" s="7"/>
      <c r="I276" s="7"/>
      <c r="J276" s="5"/>
    </row>
    <row r="277">
      <c r="A277" s="5">
        <f>IFERROR(__xludf.DUMMYFUNCTION("""COMPUTED_VALUE"""),4210008.0)</f>
        <v>4210008</v>
      </c>
      <c r="B277" s="6" t="str">
        <f>IFERROR(__xludf.DUMMYFUNCTION("""COMPUTED_VALUE"""),"4210008111170101")</f>
        <v>4210008111170101</v>
      </c>
      <c r="C277" s="5" t="str">
        <f>IFERROR(__xludf.DUMMYFUNCTION("""COMPUTED_VALUE"""),"ผลิตภัณฑ์ป้องกันและบำรุงผิว ครีมบำรุงผิว ชนิดโลชั่น บรรจุขวด\ขนาด 130 มล. ตราซิตร้า รุ่น UV 100% ซุปเปอร์ คอลลาเจน + VIT C (คละสี/สูตร)")</f>
        <v>ผลิตภัณฑ์ป้องกันและบำรุงผิว ครีมบำรุงผิว ชนิดโลชั่น บรรจุขวด\ขนาด 130 มล. ตราซิตร้า รุ่น UV 100% ซุปเปอร์ คอลลาเจน + VIT C (คละสี/สูตร)</v>
      </c>
      <c r="D277" s="5">
        <f>IFERROR(__xludf.DUMMYFUNCTION("""COMPUTED_VALUE"""),1.0)</f>
        <v>1</v>
      </c>
      <c r="E277" s="5">
        <f>IFERROR(__xludf.DUMMYFUNCTION("""COMPUTED_VALUE"""),5.0)</f>
        <v>5</v>
      </c>
      <c r="F277" s="5">
        <f>IFERROR(__xludf.DUMMYFUNCTION("""COMPUTED_VALUE"""),8.851932471862E12)</f>
        <v>8851932471862</v>
      </c>
      <c r="G277" s="5" t="str">
        <f>IFERROR(__xludf.DUMMYFUNCTION("""COMPUTED_VALUE"""),"ซิตร้าAHAเพิร์ลโลชั่น 130ml")</f>
        <v>ซิตร้าAHAเพิร์ลโลชั่น 130ml</v>
      </c>
      <c r="H277" s="7">
        <f>IFERROR(__xludf.DUMMYFUNCTION("""COMPUTED_VALUE"""),62.0)</f>
        <v>62</v>
      </c>
      <c r="I277" s="7"/>
      <c r="J277" s="5"/>
    </row>
    <row r="278">
      <c r="A278" s="5">
        <f>IFERROR(__xludf.DUMMYFUNCTION("""COMPUTED_VALUE"""),4210009.0)</f>
        <v>4210009</v>
      </c>
      <c r="B278" s="6" t="str">
        <f>IFERROR(__xludf.DUMMYFUNCTION("""COMPUTED_VALUE"""),"4210009111010114")</f>
        <v>4210009111010114</v>
      </c>
      <c r="C278" s="5" t="str">
        <f>IFERROR(__xludf.DUMMYFUNCTION("""COMPUTED_VALUE"""),"แปรงสีฟัน ขนแปรงทำด้วยไนล่อน สำหรับผู้ใหญ่\ ตราคอลเกต รุ่นเอ็กตร้าคลีน")</f>
        <v>แปรงสีฟัน ขนแปรงทำด้วยไนล่อน สำหรับผู้ใหญ่\ ตราคอลเกต รุ่นเอ็กตร้าคลีน</v>
      </c>
      <c r="D278" s="5">
        <f>IFERROR(__xludf.DUMMYFUNCTION("""COMPUTED_VALUE"""),3.0)</f>
        <v>3</v>
      </c>
      <c r="E278" s="5">
        <f>IFERROR(__xludf.DUMMYFUNCTION("""COMPUTED_VALUE"""),1.0)</f>
        <v>1</v>
      </c>
      <c r="F278" s="5"/>
      <c r="G278" s="5" t="str">
        <f>IFERROR(__xludf.DUMMYFUNCTION("""COMPUTED_VALUE"""),"คอลเกตแปรงสีฟันเอ็กซ์ตร้าคลีนนุ่ม")</f>
        <v>คอลเกตแปรงสีฟันเอ็กซ์ตร้าคลีนนุ่ม</v>
      </c>
      <c r="H278" s="7">
        <f>IFERROR(__xludf.DUMMYFUNCTION("""COMPUTED_VALUE"""),20.0)</f>
        <v>20</v>
      </c>
      <c r="I278" s="7"/>
      <c r="J278" s="5"/>
    </row>
    <row r="279">
      <c r="A279" s="5">
        <f>IFERROR(__xludf.DUMMYFUNCTION("""COMPUTED_VALUE"""),4210009.0)</f>
        <v>4210009</v>
      </c>
      <c r="B279" s="6" t="str">
        <f>IFERROR(__xludf.DUMMYFUNCTION("""COMPUTED_VALUE"""),"4210009111010334")</f>
        <v>4210009111010334</v>
      </c>
      <c r="C279" s="5" t="str">
        <f>IFERROR(__xludf.DUMMYFUNCTION("""COMPUTED_VALUE"""),"แปรงสีฟัน ขนแปรงทำด้วยไนล่อน สำหรับผู้ใหญ่\ ตรา ORAL-B รุ่น Soft &amp; Slim ซอฟท์แอนด์สลิม ขนแปรงนุ่มพิเศษ")</f>
        <v>แปรงสีฟัน ขนแปรงทำด้วยไนล่อน สำหรับผู้ใหญ่\ ตรา ORAL-B รุ่น Soft &amp; Slim ซอฟท์แอนด์สลิม ขนแปรงนุ่มพิเศษ</v>
      </c>
      <c r="D279" s="5">
        <f>IFERROR(__xludf.DUMMYFUNCTION("""COMPUTED_VALUE"""),1.0)</f>
        <v>1</v>
      </c>
      <c r="E279" s="5">
        <f>IFERROR(__xludf.DUMMYFUNCTION("""COMPUTED_VALUE"""),3.0)</f>
        <v>3</v>
      </c>
      <c r="F279" s="5">
        <f>IFERROR(__xludf.DUMMYFUNCTION("""COMPUTED_VALUE"""),4.98717603186E12)</f>
        <v>4987176031860</v>
      </c>
      <c r="G279" s="5" t="str">
        <f>IFERROR(__xludf.DUMMYFUNCTION("""COMPUTED_VALUE"""),"ออรัลบีแปรงสีฟันซอฟท์แอนด์สลิม")</f>
        <v>ออรัลบีแปรงสีฟันซอฟท์แอนด์สลิม</v>
      </c>
      <c r="H279" s="7">
        <f>IFERROR(__xludf.DUMMYFUNCTION("""COMPUTED_VALUE"""),65.0)</f>
        <v>65</v>
      </c>
      <c r="I279" s="7"/>
      <c r="J279" s="5"/>
    </row>
    <row r="280">
      <c r="A280" s="5">
        <f>IFERROR(__xludf.DUMMYFUNCTION("""COMPUTED_VALUE"""),4210009.0)</f>
        <v>4210009</v>
      </c>
      <c r="B280" s="6" t="str">
        <f>IFERROR(__xludf.DUMMYFUNCTION("""COMPUTED_VALUE"""),"4210009111011415")</f>
        <v>4210009111011415</v>
      </c>
      <c r="C280" s="5" t="str">
        <f>IFERROR(__xludf.DUMMYFUNCTION("""COMPUTED_VALUE"""),"แปรงสีฟัน ขนแปรงทำด้วยไนล่อน สำหรับผู้ใหญ่ \ ตรา SYSTEMA SLIM TEQ")</f>
        <v>แปรงสีฟัน ขนแปรงทำด้วยไนล่อน สำหรับผู้ใหญ่ \ ตรา SYSTEMA SLIM TEQ</v>
      </c>
      <c r="D280" s="5">
        <f>IFERROR(__xludf.DUMMYFUNCTION("""COMPUTED_VALUE"""),1.0)</f>
        <v>1</v>
      </c>
      <c r="E280" s="5">
        <f>IFERROR(__xludf.DUMMYFUNCTION("""COMPUTED_VALUE"""),4.0)</f>
        <v>4</v>
      </c>
      <c r="F280" s="5"/>
      <c r="G280" s="5" t="str">
        <f>IFERROR(__xludf.DUMMYFUNCTION("""COMPUTED_VALUE"""),"ซิสเท็มมาแปรงสีฟันสลิมเทค")</f>
        <v>ซิสเท็มมาแปรงสีฟันสลิมเทค</v>
      </c>
      <c r="H280" s="7">
        <f>IFERROR(__xludf.DUMMYFUNCTION("""COMPUTED_VALUE"""),65.0)</f>
        <v>65</v>
      </c>
      <c r="I280" s="7">
        <f>IFERROR(__xludf.DUMMYFUNCTION("""COMPUTED_VALUE"""),55.0)</f>
        <v>55</v>
      </c>
      <c r="J280" s="5" t="str">
        <f>IFERROR(__xludf.DUMMYFUNCTION("""COMPUTED_VALUE"""),"PROMOTION MAIL (รอบ 25 ก.ย. - 24 ต.ค. 69)")</f>
        <v>PROMOTION MAIL (รอบ 25 ก.ย. - 24 ต.ค. 69)</v>
      </c>
    </row>
    <row r="281">
      <c r="A281" s="5">
        <f>IFERROR(__xludf.DUMMYFUNCTION("""COMPUTED_VALUE"""),4210009.0)</f>
        <v>4210009</v>
      </c>
      <c r="B281" s="6" t="str">
        <f>IFERROR(__xludf.DUMMYFUNCTION("""COMPUTED_VALUE"""),"4210009111011515")</f>
        <v>4210009111011515</v>
      </c>
      <c r="C281" s="5" t="str">
        <f>IFERROR(__xludf.DUMMYFUNCTION("""COMPUTED_VALUE"""),"แปรงสีฟัน ขนแปรงทำด้วยไนล่อน สำหรับผู้ใหญ่ \ ตราเบอร์แมน รุ่น Option 1")</f>
        <v>แปรงสีฟัน ขนแปรงทำด้วยไนล่อน สำหรับผู้ใหญ่ \ ตราเบอร์แมน รุ่น Option 1</v>
      </c>
      <c r="D281" s="5">
        <f>IFERROR(__xludf.DUMMYFUNCTION("""COMPUTED_VALUE"""),1.0)</f>
        <v>1</v>
      </c>
      <c r="E281" s="5">
        <f>IFERROR(__xludf.DUMMYFUNCTION("""COMPUTED_VALUE"""),5.0)</f>
        <v>5</v>
      </c>
      <c r="F281" s="5"/>
      <c r="G281" s="5" t="str">
        <f>IFERROR(__xludf.DUMMYFUNCTION("""COMPUTED_VALUE"""),"เบอร์แมนแปรงสีฟันออฟชั่นเอ็นราวด์")</f>
        <v>เบอร์แมนแปรงสีฟันออฟชั่นเอ็นราวด์</v>
      </c>
      <c r="H281" s="7">
        <f>IFERROR(__xludf.DUMMYFUNCTION("""COMPUTED_VALUE"""),15.0)</f>
        <v>15</v>
      </c>
      <c r="I281" s="7"/>
      <c r="J281" s="5"/>
    </row>
    <row r="282">
      <c r="A282" s="5">
        <f>IFERROR(__xludf.DUMMYFUNCTION("""COMPUTED_VALUE"""),4210010.0)</f>
        <v>4210010</v>
      </c>
      <c r="B282" s="6" t="str">
        <f>IFERROR(__xludf.DUMMYFUNCTION("""COMPUTED_VALUE"""),"4210010111020204")</f>
        <v>4210010111020204</v>
      </c>
      <c r="C282" s="5" t="str">
        <f>IFERROR(__xludf.DUMMYFUNCTION("""COMPUTED_VALUE"""),"ใบมีดโกน ชนิดระบบใบมีดแฝดปรับมุมได้ บรรจุกล่อง\ จำนวน 4 ใบ\ ตรา ยิลเลตต์ รุ่น vector")</f>
        <v>ใบมีดโกน ชนิดระบบใบมีดแฝดปรับมุมได้ บรรจุกล่อง\ จำนวน 4 ใบ\ ตรา ยิลเลตต์ รุ่น vector</v>
      </c>
      <c r="D282" s="5">
        <f>IFERROR(__xludf.DUMMYFUNCTION("""COMPUTED_VALUE"""),3.0)</f>
        <v>3</v>
      </c>
      <c r="E282" s="5">
        <f>IFERROR(__xludf.DUMMYFUNCTION("""COMPUTED_VALUE"""),1.0)</f>
        <v>1</v>
      </c>
      <c r="F282" s="5">
        <f>IFERROR(__xludf.DUMMYFUNCTION("""COMPUTED_VALUE"""),3.014260301705E12)</f>
        <v>3014260301705</v>
      </c>
      <c r="G282" s="5" t="str">
        <f>IFERROR(__xludf.DUMMYFUNCTION("""COMPUTED_VALUE"""),"ยิลเลตต์ใบมีดโกนเวคเตอร์x4")</f>
        <v>ยิลเลตต์ใบมีดโกนเวคเตอร์x4</v>
      </c>
      <c r="H282" s="7">
        <f>IFERROR(__xludf.DUMMYFUNCTION("""COMPUTED_VALUE"""),155.0)</f>
        <v>155</v>
      </c>
      <c r="I282" s="7">
        <f>IFERROR(__xludf.DUMMYFUNCTION("""COMPUTED_VALUE"""),139.0)</f>
        <v>139</v>
      </c>
      <c r="J282" s="5" t="str">
        <f>IFERROR(__xludf.DUMMYFUNCTION("""COMPUTED_VALUE"""),"PROMOTION MAIL (รอบ 25 ก.ย. - 24 ต.ค. 69)")</f>
        <v>PROMOTION MAIL (รอบ 25 ก.ย. - 24 ต.ค. 69)</v>
      </c>
    </row>
    <row r="283">
      <c r="A283" s="5">
        <f>IFERROR(__xludf.DUMMYFUNCTION("""COMPUTED_VALUE"""),4210010.0)</f>
        <v>4210010</v>
      </c>
      <c r="B283" s="6" t="str">
        <f>IFERROR(__xludf.DUMMYFUNCTION("""COMPUTED_VALUE"""),"4210010411030101")</f>
        <v>4210010411030101</v>
      </c>
      <c r="C283" s="5" t="str">
        <f>IFERROR(__xludf.DUMMYFUNCTION("""COMPUTED_VALUE"""),"ใบมีดโกน ชนิดระบบมีดแฝด บรรจุแพ็ค \ จำนวน 2 ด้าม\ ตรา ตรายิลเลตต์ Super Thin")</f>
        <v>ใบมีดโกน ชนิดระบบมีดแฝด บรรจุแพ็ค \ จำนวน 2 ด้าม\ ตรา ตรายิลเลตต์ Super Thin</v>
      </c>
      <c r="D283" s="5">
        <f>IFERROR(__xludf.DUMMYFUNCTION("""COMPUTED_VALUE"""),1.0)</f>
        <v>1</v>
      </c>
      <c r="E283" s="5">
        <f>IFERROR(__xludf.DUMMYFUNCTION("""COMPUTED_VALUE"""),3.0)</f>
        <v>3</v>
      </c>
      <c r="F283" s="5"/>
      <c r="G283" s="5" t="str">
        <f>IFERROR(__xludf.DUMMYFUNCTION("""COMPUTED_VALUE"""),"ยิลเลตต์ซุปเปอร์ธินมีดโกนด้ามมีดยาว")</f>
        <v>ยิลเลตต์ซุปเปอร์ธินมีดโกนด้ามมีดยาว</v>
      </c>
      <c r="H283" s="7">
        <f>IFERROR(__xludf.DUMMYFUNCTION("""COMPUTED_VALUE"""),49.0)</f>
        <v>49</v>
      </c>
      <c r="I283" s="7">
        <f>IFERROR(__xludf.DUMMYFUNCTION("""COMPUTED_VALUE"""),45.0)</f>
        <v>45</v>
      </c>
      <c r="J283" s="5" t="str">
        <f>IFERROR(__xludf.DUMMYFUNCTION("""COMPUTED_VALUE"""),"PROMOTION MAIL (รอบ 25 ก.ย. - 24 ต.ค. 69)")</f>
        <v>PROMOTION MAIL (รอบ 25 ก.ย. - 24 ต.ค. 69)</v>
      </c>
    </row>
    <row r="284">
      <c r="A284" s="5">
        <f>IFERROR(__xludf.DUMMYFUNCTION("""COMPUTED_VALUE"""),4210010.0)</f>
        <v>4210010</v>
      </c>
      <c r="B284" s="6" t="str">
        <f>IFERROR(__xludf.DUMMYFUNCTION("""COMPUTED_VALUE"""),"4210010411040101")</f>
        <v>4210010411040101</v>
      </c>
      <c r="C284" s="5" t="str">
        <f>IFERROR(__xludf.DUMMYFUNCTION("""COMPUTED_VALUE"""),"ใบมีดโกน ชนิดระบบมีดแฝด บรรจุแพ็ค \ จำนวน 5 ด้าม\ ตรา ตรายิลเลตต์ Super Thin")</f>
        <v>ใบมีดโกน ชนิดระบบมีดแฝด บรรจุแพ็ค \ จำนวน 5 ด้าม\ ตรา ตรายิลเลตต์ Super Thin</v>
      </c>
      <c r="D284" s="5">
        <f>IFERROR(__xludf.DUMMYFUNCTION("""COMPUTED_VALUE"""),1.0)</f>
        <v>1</v>
      </c>
      <c r="E284" s="5">
        <f>IFERROR(__xludf.DUMMYFUNCTION("""COMPUTED_VALUE"""),5.0)</f>
        <v>5</v>
      </c>
      <c r="F284" s="5">
        <f>IFERROR(__xludf.DUMMYFUNCTION("""COMPUTED_VALUE"""),7.702018017386E12)</f>
        <v>7702018017386</v>
      </c>
      <c r="G284" s="5" t="str">
        <f>IFERROR(__xludf.DUMMYFUNCTION("""COMPUTED_VALUE"""),"ยิลเลตต์ด้ามมีดโกนซุปเปอร์ธินทูแพ็ค5+1")</f>
        <v>ยิลเลตต์ด้ามมีดโกนซุปเปอร์ธินทูแพ็ค5+1</v>
      </c>
      <c r="H284" s="7">
        <f>IFERROR(__xludf.DUMMYFUNCTION("""COMPUTED_VALUE"""),109.0)</f>
        <v>109</v>
      </c>
      <c r="I284" s="7"/>
      <c r="J284" s="5"/>
    </row>
    <row r="285">
      <c r="A285" s="5">
        <f>IFERROR(__xludf.DUMMYFUNCTION("""COMPUTED_VALUE"""),4210011.0)</f>
        <v>4210011</v>
      </c>
      <c r="B285" s="6" t="str">
        <f>IFERROR(__xludf.DUMMYFUNCTION("""COMPUTED_VALUE"""),"4210011211010206")</f>
        <v>4210011211010206</v>
      </c>
      <c r="C285" s="5" t="str">
        <f>IFERROR(__xludf.DUMMYFUNCTION("""COMPUTED_VALUE"""),"กระดาษชำระ ชนิดม้วน 2 ชั้น เหนียวนุ่ม บรรจุห่อพลาสติก \ จำนวน 6 ม้วน \ ตราเซลล็อกส์ หนา 2 ชั้น ยาว2 เท่า เหนียวนุ่ม 2.5 เท่า ไม่เป็นขุย")</f>
        <v>กระดาษชำระ ชนิดม้วน 2 ชั้น เหนียวนุ่ม บรรจุห่อพลาสติก \ จำนวน 6 ม้วน \ ตราเซลล็อกส์ หนา 2 ชั้น ยาว2 เท่า เหนียวนุ่ม 2.5 เท่า ไม่เป็นขุย</v>
      </c>
      <c r="D285" s="5">
        <f>IFERROR(__xludf.DUMMYFUNCTION("""COMPUTED_VALUE"""),4.0)</f>
        <v>4</v>
      </c>
      <c r="E285" s="5">
        <f>IFERROR(__xludf.DUMMYFUNCTION("""COMPUTED_VALUE"""),1.0)</f>
        <v>1</v>
      </c>
      <c r="F285" s="5">
        <f>IFERROR(__xludf.DUMMYFUNCTION("""COMPUTED_VALUE"""),8.850046012008E12)</f>
        <v>8850046012008</v>
      </c>
      <c r="G285" s="5" t="str">
        <f>IFERROR(__xludf.DUMMYFUNCTION("""COMPUTED_VALUE"""),"เซลล็อกซ์กระดาษเอ็กตร้าดับเบิ้ลโรล6ม้วน")</f>
        <v>เซลล็อกซ์กระดาษเอ็กตร้าดับเบิ้ลโรล6ม้วน</v>
      </c>
      <c r="H285" s="7">
        <f>IFERROR(__xludf.DUMMYFUNCTION("""COMPUTED_VALUE"""),92.0)</f>
        <v>92</v>
      </c>
      <c r="I285" s="7"/>
      <c r="J285" s="5"/>
    </row>
    <row r="286">
      <c r="A286" s="5">
        <f>IFERROR(__xludf.DUMMYFUNCTION("""COMPUTED_VALUE"""),4210011.0)</f>
        <v>4210011</v>
      </c>
      <c r="B286" s="6" t="str">
        <f>IFERROR(__xludf.DUMMYFUNCTION("""COMPUTED_VALUE"""),"4210011111010112")</f>
        <v>4210011111010112</v>
      </c>
      <c r="C286" s="5" t="str">
        <f>IFERROR(__xludf.DUMMYFUNCTION("""COMPUTED_VALUE"""),"กระดาษชำระ ชนิดม้วน 2 ชั้น อ่อนนุ่ม บรรจุห่อพลาสติก\ จำนวน 6 ม้วน\ ตรา สก๊อตต์ รุ่น EXTRA ความยาว 2 เท่า")</f>
        <v>กระดาษชำระ ชนิดม้วน 2 ชั้น อ่อนนุ่ม บรรจุห่อพลาสติก\ จำนวน 6 ม้วน\ ตรา สก๊อตต์ รุ่น EXTRA ความยาว 2 เท่า</v>
      </c>
      <c r="D286" s="5">
        <f>IFERROR(__xludf.DUMMYFUNCTION("""COMPUTED_VALUE"""),3.0)</f>
        <v>3</v>
      </c>
      <c r="E286" s="5">
        <f>IFERROR(__xludf.DUMMYFUNCTION("""COMPUTED_VALUE"""),2.0)</f>
        <v>2</v>
      </c>
      <c r="F286" s="5">
        <f>IFERROR(__xludf.DUMMYFUNCTION("""COMPUTED_VALUE"""),8.850039204007E12)</f>
        <v>8850039204007</v>
      </c>
      <c r="G286" s="5" t="str">
        <f>IFERROR(__xludf.DUMMYFUNCTION("""COMPUTED_VALUE"""),"สก็อตกระดาษเอ็กซ์ตร้ายาว2เท่า6ม้วน")</f>
        <v>สก็อตกระดาษเอ็กซ์ตร้ายาว2เท่า6ม้วน</v>
      </c>
      <c r="H286" s="7">
        <f>IFERROR(__xludf.DUMMYFUNCTION("""COMPUTED_VALUE"""),94.0)</f>
        <v>94</v>
      </c>
      <c r="I286" s="7">
        <f>IFERROR(__xludf.DUMMYFUNCTION("""COMPUTED_VALUE"""),84.0)</f>
        <v>84</v>
      </c>
      <c r="J286" s="5" t="str">
        <f>IFERROR(__xludf.DUMMYFUNCTION("""COMPUTED_VALUE"""),"PROMOTION MAIL (รอบ 25 ก.ย. - 24 ต.ค. 69)")</f>
        <v>PROMOTION MAIL (รอบ 25 ก.ย. - 24 ต.ค. 69)</v>
      </c>
    </row>
    <row r="287">
      <c r="A287" s="5">
        <f>IFERROR(__xludf.DUMMYFUNCTION("""COMPUTED_VALUE"""),4210011.0)</f>
        <v>4210011</v>
      </c>
      <c r="B287" s="6" t="str">
        <f>IFERROR(__xludf.DUMMYFUNCTION("""COMPUTED_VALUE"""),"4210011111010107")</f>
        <v>4210011111010107</v>
      </c>
      <c r="C287" s="5" t="str">
        <f>IFERROR(__xludf.DUMMYFUNCTION("""COMPUTED_VALUE"""),"กระดาษชำระ ชนิดม้วน 2 ชั้น อ่อนนุ่ม บรรจุห่อพลาสติก \จำนวน 6 ม้วน\ ตรา สก้อต รุ่น select")</f>
        <v>กระดาษชำระ ชนิดม้วน 2 ชั้น อ่อนนุ่ม บรรจุห่อพลาสติก \จำนวน 6 ม้วน\ ตรา สก้อต รุ่น select</v>
      </c>
      <c r="D287" s="5">
        <f>IFERROR(__xludf.DUMMYFUNCTION("""COMPUTED_VALUE"""),1.0)</f>
        <v>1</v>
      </c>
      <c r="E287" s="5">
        <f>IFERROR(__xludf.DUMMYFUNCTION("""COMPUTED_VALUE"""),5.0)</f>
        <v>5</v>
      </c>
      <c r="F287" s="5">
        <f>IFERROR(__xludf.DUMMYFUNCTION("""COMPUTED_VALUE"""),8.850039203963E12)</f>
        <v>8850039203963</v>
      </c>
      <c r="G287" s="5" t="str">
        <f>IFERROR(__xludf.DUMMYFUNCTION("""COMPUTED_VALUE"""),"สก็อตต์กระดาษซีเลคมาตราฐาน6ม้วน")</f>
        <v>สก็อตต์กระดาษซีเลคมาตราฐาน6ม้วน</v>
      </c>
      <c r="H287" s="7">
        <f>IFERROR(__xludf.DUMMYFUNCTION("""COMPUTED_VALUE"""),40.0)</f>
        <v>40</v>
      </c>
      <c r="I287" s="7"/>
      <c r="J287" s="5"/>
    </row>
    <row r="288">
      <c r="A288" s="5">
        <f>IFERROR(__xludf.DUMMYFUNCTION("""COMPUTED_VALUE"""),4210011.0)</f>
        <v>4210011</v>
      </c>
      <c r="B288" s="6" t="str">
        <f>IFERROR(__xludf.DUMMYFUNCTION("""COMPUTED_VALUE"""),"4210011111011502")</f>
        <v>4210011111011502</v>
      </c>
      <c r="C288" s="5" t="str">
        <f>IFERROR(__xludf.DUMMYFUNCTION("""COMPUTED_VALUE"""),"กระดาษชำระ ชนิดม้วน 2 ชั้น อ่อนนุ่ม บรรจุห่อพลาสติก \ จำนวน 6 ม้วน \ ตราซิลค์ เหนียวนุ่ม คุ้มค่า จัมโบ้ ยาว 1.5 เท่า")</f>
        <v>กระดาษชำระ ชนิดม้วน 2 ชั้น อ่อนนุ่ม บรรจุห่อพลาสติก \ จำนวน 6 ม้วน \ ตราซิลค์ เหนียวนุ่ม คุ้มค่า จัมโบ้ ยาว 1.5 เท่า</v>
      </c>
      <c r="D288" s="5">
        <f>IFERROR(__xludf.DUMMYFUNCTION("""COMPUTED_VALUE"""),1.0)</f>
        <v>1</v>
      </c>
      <c r="E288" s="5">
        <f>IFERROR(__xludf.DUMMYFUNCTION("""COMPUTED_VALUE"""),6.0)</f>
        <v>6</v>
      </c>
      <c r="F288" s="5"/>
      <c r="G288" s="5" t="str">
        <f>IFERROR(__xludf.DUMMYFUNCTION("""COMPUTED_VALUE"""),"ซิลค์กระดาษจัมโบ้6ม้วน")</f>
        <v>ซิลค์กระดาษจัมโบ้6ม้วน</v>
      </c>
      <c r="H288" s="7">
        <f>IFERROR(__xludf.DUMMYFUNCTION("""COMPUTED_VALUE"""),54.0)</f>
        <v>54</v>
      </c>
      <c r="I288" s="7">
        <f>IFERROR(__xludf.DUMMYFUNCTION("""COMPUTED_VALUE"""),52.0)</f>
        <v>52</v>
      </c>
      <c r="J288" s="5" t="str">
        <f>IFERROR(__xludf.DUMMYFUNCTION("""COMPUTED_VALUE"""),"EDLP 15 AUG-14 NOV 2026")</f>
        <v>EDLP 15 AUG-14 NOV 2026</v>
      </c>
    </row>
    <row r="289">
      <c r="A289" s="5">
        <f>IFERROR(__xludf.DUMMYFUNCTION("""COMPUTED_VALUE"""),4210011.0)</f>
        <v>4210011</v>
      </c>
      <c r="B289" s="6" t="str">
        <f>IFERROR(__xludf.DUMMYFUNCTION("""COMPUTED_VALUE"""),"4210011121010402")</f>
        <v>4210011121010402</v>
      </c>
      <c r="C289" s="5" t="str">
        <f>IFERROR(__xludf.DUMMYFUNCTION("""COMPUTED_VALUE"""),"กระดาษชำระ ชนิดม้วน 2 ชั้น หยาบ บรรจุห่อพลาสติก\ จำนวน 6 ม้วน\ ตรา ซิลด์ รุ่น KOTTON")</f>
        <v>กระดาษชำระ ชนิดม้วน 2 ชั้น หยาบ บรรจุห่อพลาสติก\ จำนวน 6 ม้วน\ ตรา ซิลด์ รุ่น KOTTON</v>
      </c>
      <c r="D289" s="5">
        <f>IFERROR(__xludf.DUMMYFUNCTION("""COMPUTED_VALUE"""),1.0)</f>
        <v>1</v>
      </c>
      <c r="E289" s="5">
        <f>IFERROR(__xludf.DUMMYFUNCTION("""COMPUTED_VALUE"""),8.0)</f>
        <v>8</v>
      </c>
      <c r="F289" s="5"/>
      <c r="G289" s="5" t="str">
        <f>IFERROR(__xludf.DUMMYFUNCTION("""COMPUTED_VALUE"""),"PM_ซิลค์กระดาษคอนตอน6ม้วน")</f>
        <v>PM_ซิลค์กระดาษคอนตอน6ม้วน</v>
      </c>
      <c r="H289" s="7">
        <f>IFERROR(__xludf.DUMMYFUNCTION("""COMPUTED_VALUE"""),44.0)</f>
        <v>44</v>
      </c>
      <c r="I289" s="7"/>
      <c r="J289" s="5"/>
    </row>
    <row r="290">
      <c r="A290" s="5">
        <f>IFERROR(__xludf.DUMMYFUNCTION("""COMPUTED_VALUE"""),4210011.0)</f>
        <v>4210011</v>
      </c>
      <c r="B290" s="6" t="str">
        <f>IFERROR(__xludf.DUMMYFUNCTION("""COMPUTED_VALUE"""),"4210011121010502")</f>
        <v>4210011121010502</v>
      </c>
      <c r="C290" s="5" t="str">
        <f>IFERROR(__xludf.DUMMYFUNCTION("""COMPUTED_VALUE"""),"กระดาษชำระ ชนิดม้วน 2 ชั้น หยาบ บรรจุห่อพลาสติก\ จำนวน 6 ม้วน \ ตรา ซิลด์ รุ่น ไจแอ้นท์ ยาวกว่า 3 เท่า")</f>
        <v>กระดาษชำระ ชนิดม้วน 2 ชั้น หยาบ บรรจุห่อพลาสติก\ จำนวน 6 ม้วน \ ตรา ซิลด์ รุ่น ไจแอ้นท์ ยาวกว่า 3 เท่า</v>
      </c>
      <c r="D290" s="5">
        <f>IFERROR(__xludf.DUMMYFUNCTION("""COMPUTED_VALUE"""),1.0)</f>
        <v>1</v>
      </c>
      <c r="E290" s="5">
        <f>IFERROR(__xludf.DUMMYFUNCTION("""COMPUTED_VALUE"""),9.0)</f>
        <v>9</v>
      </c>
      <c r="F290" s="5"/>
      <c r="G290" s="5" t="str">
        <f>IFERROR(__xludf.DUMMYFUNCTION("""COMPUTED_VALUE"""),"ซิลค์กระดาษไจแอนท์6ม้วน")</f>
        <v>ซิลค์กระดาษไจแอนท์6ม้วน</v>
      </c>
      <c r="H290" s="7">
        <f>IFERROR(__xludf.DUMMYFUNCTION("""COMPUTED_VALUE"""),95.0)</f>
        <v>95</v>
      </c>
      <c r="I290" s="7"/>
      <c r="J290" s="5"/>
    </row>
    <row r="291">
      <c r="A291" s="5">
        <f>IFERROR(__xludf.DUMMYFUNCTION("""COMPUTED_VALUE"""),4210011.0)</f>
        <v>4210011</v>
      </c>
      <c r="B291" s="6" t="str">
        <f>IFERROR(__xludf.DUMMYFUNCTION("""COMPUTED_VALUE"""),"4210011121011301")</f>
        <v>4210011121011301</v>
      </c>
      <c r="C291" s="5" t="str">
        <f>IFERROR(__xludf.DUMMYFUNCTION("""COMPUTED_VALUE"""),"กระดาษชำระ ชนิดม้วน 2 ชั้น หยาบ บรรจุห่อพลาสติก\ จำนวน 6 ม้วน \ ตราเบลล์ (Bell)")</f>
        <v>กระดาษชำระ ชนิดม้วน 2 ชั้น หยาบ บรรจุห่อพลาสติก\ จำนวน 6 ม้วน \ ตราเบลล์ (Bell)</v>
      </c>
      <c r="D291" s="5">
        <f>IFERROR(__xludf.DUMMYFUNCTION("""COMPUTED_VALUE"""),1.0)</f>
        <v>1</v>
      </c>
      <c r="E291" s="5">
        <f>IFERROR(__xludf.DUMMYFUNCTION("""COMPUTED_VALUE"""),10.0)</f>
        <v>10</v>
      </c>
      <c r="F291" s="5">
        <f>IFERROR(__xludf.DUMMYFUNCTION("""COMPUTED_VALUE"""),8.85004615108E12)</f>
        <v>8850046151080</v>
      </c>
      <c r="G291" s="5" t="str">
        <f>IFERROR(__xludf.DUMMYFUNCTION("""COMPUTED_VALUE"""),"PM_เบลล์กระดาษ8ม้วน")</f>
        <v>PM_เบลล์กระดาษ8ม้วน</v>
      </c>
      <c r="H291" s="7">
        <f>IFERROR(__xludf.DUMMYFUNCTION("""COMPUTED_VALUE"""),36.0)</f>
        <v>36</v>
      </c>
      <c r="I291" s="7"/>
      <c r="J291" s="5"/>
    </row>
    <row r="292">
      <c r="A292" s="5">
        <f>IFERROR(__xludf.DUMMYFUNCTION("""COMPUTED_VALUE"""),4210012.0)</f>
        <v>4210012</v>
      </c>
      <c r="B292" s="6" t="str">
        <f>IFERROR(__xludf.DUMMYFUNCTION("""COMPUTED_VALUE"""),"4210012115020101")</f>
        <v>4210012115020101</v>
      </c>
      <c r="C292" s="5" t="str">
        <f>IFERROR(__xludf.DUMMYFUNCTION("""COMPUTED_VALUE"""),"ครีมนวดผม ชนิดครีม บรรจุขวด(ขวดชนิดมีหัวกด) \ ขนาด 370 ม.ล.\ ตรา Rejoice 3 in 1 Rich Smooth ผมนุ่มลื่น 48 ชั่วโมง ผมนุ่มลื่น ฟื้นบำรุง หอมยาวนาน ผสานน้ำมันอาร์แกน")</f>
        <v>ครีมนวดผม ชนิดครีม บรรจุขวด(ขวดชนิดมีหัวกด) \ ขนาด 370 ม.ล.\ ตรา Rejoice 3 in 1 Rich Smooth ผมนุ่มลื่น 48 ชั่วโมง ผมนุ่มลื่น ฟื้นบำรุง หอมยาวนาน ผสานน้ำมันอาร์แกน</v>
      </c>
      <c r="D292" s="5">
        <f>IFERROR(__xludf.DUMMYFUNCTION("""COMPUTED_VALUE"""),2.0)</f>
        <v>2</v>
      </c>
      <c r="E292" s="5">
        <f>IFERROR(__xludf.DUMMYFUNCTION("""COMPUTED_VALUE"""),1.0)</f>
        <v>1</v>
      </c>
      <c r="F292" s="5">
        <f>IFERROR(__xludf.DUMMYFUNCTION("""COMPUTED_VALUE"""),4.902430695701E12)</f>
        <v>4902430695701</v>
      </c>
      <c r="G292" s="5" t="str">
        <f>IFERROR(__xludf.DUMMYFUNCTION("""COMPUTED_VALUE"""),"รีจอยส์ครีมนวดริชซอฟท์สมูท370ml")</f>
        <v>รีจอยส์ครีมนวดริชซอฟท์สมูท370ml</v>
      </c>
      <c r="H292" s="7">
        <f>IFERROR(__xludf.DUMMYFUNCTION("""COMPUTED_VALUE"""),165.0)</f>
        <v>165</v>
      </c>
      <c r="I292" s="7"/>
      <c r="J292" s="5"/>
    </row>
    <row r="293">
      <c r="A293" s="5">
        <f>IFERROR(__xludf.DUMMYFUNCTION("""COMPUTED_VALUE"""),4210012.0)</f>
        <v>4210012</v>
      </c>
      <c r="B293" s="6" t="str">
        <f>IFERROR(__xludf.DUMMYFUNCTION("""COMPUTED_VALUE"""),"4210012213010101")</f>
        <v>4210012213010101</v>
      </c>
      <c r="C293" s="5" t="str">
        <f>IFERROR(__xludf.DUMMYFUNCTION("""COMPUTED_VALUE"""),"ครีมนวดผม ชนิดเซรั่ม\ บรรจุขวด(ขวดชนิดมีหัวกด) \ขนาด 350 มล.\ ตราซัลซิล Activ-infusion (คละสี/สูตร)")</f>
        <v>ครีมนวดผม ชนิดเซรั่ม\ บรรจุขวด(ขวดชนิดมีหัวกด) \ขนาด 350 มล.\ ตราซัลซิล Activ-infusion (คละสี/สูตร)</v>
      </c>
      <c r="D293" s="5">
        <f>IFERROR(__xludf.DUMMYFUNCTION("""COMPUTED_VALUE"""),2.0)</f>
        <v>2</v>
      </c>
      <c r="E293" s="5">
        <f>IFERROR(__xludf.DUMMYFUNCTION("""COMPUTED_VALUE"""),2.0)</f>
        <v>2</v>
      </c>
      <c r="F293" s="5">
        <f>IFERROR(__xludf.DUMMYFUNCTION("""COMPUTED_VALUE"""),8.851932354264E12)</f>
        <v>8851932354264</v>
      </c>
      <c r="G293" s="5" t="str">
        <f>IFERROR(__xludf.DUMMYFUNCTION("""COMPUTED_VALUE"""),"ซันซิลครีมนวดสมูทแอนด์เมเนจชมพู350ml")</f>
        <v>ซันซิลครีมนวดสมูทแอนด์เมเนจชมพู350ml</v>
      </c>
      <c r="H293" s="7">
        <f>IFERROR(__xludf.DUMMYFUNCTION("""COMPUTED_VALUE"""),149.0)</f>
        <v>149</v>
      </c>
      <c r="I293" s="7">
        <f>IFERROR(__xludf.DUMMYFUNCTION("""COMPUTED_VALUE"""),109.0)</f>
        <v>109</v>
      </c>
      <c r="J293" s="5"/>
    </row>
    <row r="294">
      <c r="A294" s="5">
        <f>IFERROR(__xludf.DUMMYFUNCTION("""COMPUTED_VALUE"""),4210013.0)</f>
        <v>4210013</v>
      </c>
      <c r="B294" s="6" t="str">
        <f>IFERROR(__xludf.DUMMYFUNCTION("""COMPUTED_VALUE"""),"4210013311030422")</f>
        <v>4210013311030422</v>
      </c>
      <c r="C294" s="5" t="str">
        <f>IFERROR(__xludf.DUMMYFUNCTION("""COMPUTED_VALUE"""),"ผ้าอนามัย ชนิดแถบกาว สลิม มีปีก บรรจุพลาสติก \ ขนาด 16 ชิ้น \ ตราโซฟี แบบกระชับ ไม่ห่อตัว ไม่ซึมเปื้อน ปีกล๊อค 2 ชั้น ติดแน่นไม่เลื่อนหลุด ผิวสัมผัสนุ่ม สำหรับกลางวัน 23 ซม.")</f>
        <v>ผ้าอนามัย ชนิดแถบกาว สลิม มีปีก บรรจุพลาสติก \ ขนาด 16 ชิ้น \ ตราโซฟี แบบกระชับ ไม่ห่อตัว ไม่ซึมเปื้อน ปีกล๊อค 2 ชั้น ติดแน่นไม่เลื่อนหลุด ผิวสัมผัสนุ่ม สำหรับกลางวัน 23 ซม.</v>
      </c>
      <c r="D294" s="5">
        <f>IFERROR(__xludf.DUMMYFUNCTION("""COMPUTED_VALUE"""),2.0)</f>
        <v>2</v>
      </c>
      <c r="E294" s="5">
        <f>IFERROR(__xludf.DUMMYFUNCTION("""COMPUTED_VALUE"""),1.0)</f>
        <v>1</v>
      </c>
      <c r="F294" s="5">
        <f>IFERROR(__xludf.DUMMYFUNCTION("""COMPUTED_VALUE"""),8.851111300037E12)</f>
        <v>8851111300037</v>
      </c>
      <c r="G294" s="5" t="str">
        <f>IFERROR(__xludf.DUMMYFUNCTION("""COMPUTED_VALUE"""),"โซฟีกระชับสลิมปีก16pc")</f>
        <v>โซฟีกระชับสลิมปีก16pc</v>
      </c>
      <c r="H294" s="7">
        <f>IFERROR(__xludf.DUMMYFUNCTION("""COMPUTED_VALUE"""),41.0)</f>
        <v>41</v>
      </c>
      <c r="I294" s="7">
        <f>IFERROR(__xludf.DUMMYFUNCTION("""COMPUTED_VALUE"""),37.0)</f>
        <v>37</v>
      </c>
      <c r="J294" s="5" t="str">
        <f>IFERROR(__xludf.DUMMYFUNCTION("""COMPUTED_VALUE"""),"EDLP 15 AUG-14 NOV 2026")</f>
        <v>EDLP 15 AUG-14 NOV 2026</v>
      </c>
    </row>
    <row r="295">
      <c r="A295" s="5">
        <f>IFERROR(__xludf.DUMMYFUNCTION("""COMPUTED_VALUE"""),4210013.0)</f>
        <v>4210013</v>
      </c>
      <c r="B295" s="6" t="str">
        <f>IFERROR(__xludf.DUMMYFUNCTION("""COMPUTED_VALUE"""),"4210013211050302")</f>
        <v>4210013211050302</v>
      </c>
      <c r="C295" s="5" t="str">
        <f>IFERROR(__xludf.DUMMYFUNCTION("""COMPUTED_VALUE"""),"ผ้าอนามัย ชนิดแถบกาว มีปีก บรรจุพลาสติก\ ขนาด 4 ชิ้น \ ตราลอริเอะ Soft &amp; Safe สำหรับกลางคืน ยาว 30 ซม. เพิ่มการซึมซับ 150 %")</f>
        <v>ผ้าอนามัย ชนิดแถบกาว มีปีก บรรจุพลาสติก\ ขนาด 4 ชิ้น \ ตราลอริเอะ Soft &amp; Safe สำหรับกลางคืน ยาว 30 ซม. เพิ่มการซึมซับ 150 %</v>
      </c>
      <c r="D295" s="5">
        <f>IFERROR(__xludf.DUMMYFUNCTION("""COMPUTED_VALUE"""),1.0)</f>
        <v>1</v>
      </c>
      <c r="E295" s="5">
        <f>IFERROR(__xludf.DUMMYFUNCTION("""COMPUTED_VALUE"""),2.0)</f>
        <v>2</v>
      </c>
      <c r="F295" s="5"/>
      <c r="G295" s="5" t="str">
        <f>IFERROR(__xludf.DUMMYFUNCTION("""COMPUTED_VALUE"""),"ลอรีเอะซอฟท์&amp;เซฟไนท์30cm4pc")</f>
        <v>ลอรีเอะซอฟท์&amp;เซฟไนท์30cm4pc</v>
      </c>
      <c r="H295" s="7">
        <f>IFERROR(__xludf.DUMMYFUNCTION("""COMPUTED_VALUE"""),16.0)</f>
        <v>16</v>
      </c>
      <c r="I295" s="7"/>
      <c r="J295" s="5"/>
    </row>
    <row r="296">
      <c r="A296" s="5">
        <f>IFERROR(__xludf.DUMMYFUNCTION("""COMPUTED_VALUE"""),4210013.0)</f>
        <v>4210013</v>
      </c>
      <c r="B296" s="6" t="str">
        <f>IFERROR(__xludf.DUMMYFUNCTION("""COMPUTED_VALUE"""),"4210013311030419")</f>
        <v>4210013311030419</v>
      </c>
      <c r="C296" s="5" t="str">
        <f>IFERROR(__xludf.DUMMYFUNCTION("""COMPUTED_VALUE"""),"ผ้าอนามัย ชนิดแถบกาว สลิม มีปีก บรรจุพลาสติก \ ขนาด 16 ชิ้น \ ตราโซฟี หลับสนิทตลอดคืน 29 ซม.ล็อคซึมเปื้อน ไม่ไหลไปตามร่อง แบ๊กการ์ด กว้างสุด แผ่นล็อคกระชับ 3 มิติ กลางคืนมามาก ผิวสัมผัสนุ่ม")</f>
        <v>ผ้าอนามัย ชนิดแถบกาว สลิม มีปีก บรรจุพลาสติก \ ขนาด 16 ชิ้น \ ตราโซฟี หลับสนิทตลอดคืน 29 ซม.ล็อคซึมเปื้อน ไม่ไหลไปตามร่อง แบ๊กการ์ด กว้างสุด แผ่นล็อคกระชับ 3 มิติ กลางคืนมามาก ผิวสัมผัสนุ่ม</v>
      </c>
      <c r="D296" s="5">
        <f>IFERROR(__xludf.DUMMYFUNCTION("""COMPUTED_VALUE"""),1.0)</f>
        <v>1</v>
      </c>
      <c r="E296" s="5">
        <f>IFERROR(__xludf.DUMMYFUNCTION("""COMPUTED_VALUE"""),3.0)</f>
        <v>3</v>
      </c>
      <c r="F296" s="5"/>
      <c r="G296" s="5" t="str">
        <f>IFERROR(__xludf.DUMMYFUNCTION("""COMPUTED_VALUE"""),"โซฟีกระชับไนท์ปีก29cm16pc")</f>
        <v>โซฟีกระชับไนท์ปีก29cm16pc</v>
      </c>
      <c r="H296" s="7">
        <f>IFERROR(__xludf.DUMMYFUNCTION("""COMPUTED_VALUE"""),55.0)</f>
        <v>55</v>
      </c>
      <c r="I296" s="7">
        <f>IFERROR(__xludf.DUMMYFUNCTION("""COMPUTED_VALUE"""),46.0)</f>
        <v>46</v>
      </c>
      <c r="J296" s="5" t="str">
        <f>IFERROR(__xludf.DUMMYFUNCTION("""COMPUTED_VALUE"""),"PROMOTION MAIL (รอบ 25 ก.ย. - 24 ต.ค. 69)")</f>
        <v>PROMOTION MAIL (รอบ 25 ก.ย. - 24 ต.ค. 69)</v>
      </c>
    </row>
    <row r="297">
      <c r="A297" s="5">
        <f>IFERROR(__xludf.DUMMYFUNCTION("""COMPUTED_VALUE"""),4210013.0)</f>
        <v>4210013</v>
      </c>
      <c r="B297" s="6" t="str">
        <f>IFERROR(__xludf.DUMMYFUNCTION("""COMPUTED_VALUE"""),"4210013211030207")</f>
        <v>4210013211030207</v>
      </c>
      <c r="C297" s="5" t="str">
        <f>IFERROR(__xludf.DUMMYFUNCTION("""COMPUTED_VALUE"""),"ผ้าอนามัย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 ควิกล็อกซิสเตมไม่ไหลย้อนกลับ สำหรับกลางวัน")</f>
        <v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 ควิกล็อกซิสเตมไม่ไหลย้อนกลับ สำหรับกลางวัน</v>
      </c>
      <c r="D297" s="5">
        <f>IFERROR(__xludf.DUMMYFUNCTION("""COMPUTED_VALUE"""),1.0)</f>
        <v>1</v>
      </c>
      <c r="E297" s="5">
        <f>IFERROR(__xludf.DUMMYFUNCTION("""COMPUTED_VALUE"""),5.0)</f>
        <v>5</v>
      </c>
      <c r="F297" s="5">
        <f>IFERROR(__xludf.DUMMYFUNCTION("""COMPUTED_VALUE"""),8.851818918634E12)</f>
        <v>8851818918634</v>
      </c>
      <c r="G297" s="5" t="str">
        <f>IFERROR(__xludf.DUMMYFUNCTION("""COMPUTED_VALUE"""),"ลอรีเอะซอฟท์&amp;เซฟแมกซี่ปีก16pc")</f>
        <v>ลอรีเอะซอฟท์&amp;เซฟแมกซี่ปีก16pc</v>
      </c>
      <c r="H297" s="7">
        <f>IFERROR(__xludf.DUMMYFUNCTION("""COMPUTED_VALUE"""),42.0)</f>
        <v>42</v>
      </c>
      <c r="I297" s="7"/>
      <c r="J297" s="5"/>
    </row>
    <row r="298">
      <c r="A298" s="5">
        <f>IFERROR(__xludf.DUMMYFUNCTION("""COMPUTED_VALUE"""),4210013.0)</f>
        <v>4210013</v>
      </c>
      <c r="B298" s="6" t="str">
        <f>IFERROR(__xludf.DUMMYFUNCTION("""COMPUTED_VALUE"""),"4210013221010107")</f>
        <v>4210013221010107</v>
      </c>
      <c r="C298" s="5" t="str">
        <f>IFERROR(__xludf.DUMMYFUNCTION("""COMPUTED_VALUE"""),"ผ้าอนามัย ชนิดแถบกาว แม็กซี่ ไม่มีปีก บรรจุพลาสติก \ ขนาด 20 ชิ้น \ ตราโมเดส รุ่นผิวหน้านุ่ม สำหรับวันมามาก - มามากพิเศษ มีสารสกัดจากธรรมชาติควบคุมกลิ่น")</f>
        <v>ผ้าอนามัย ชนิดแถบกาว แม็กซี่ ไม่มีปีก บรรจุพลาสติก \ ขนาด 20 ชิ้น \ ตราโมเดส รุ่นผิวหน้านุ่ม สำหรับวันมามาก - มามากพิเศษ มีสารสกัดจากธรรมชาติควบคุมกลิ่น</v>
      </c>
      <c r="D298" s="5">
        <f>IFERROR(__xludf.DUMMYFUNCTION("""COMPUTED_VALUE"""),1.0)</f>
        <v>1</v>
      </c>
      <c r="E298" s="5">
        <f>IFERROR(__xludf.DUMMYFUNCTION("""COMPUTED_VALUE"""),6.0)</f>
        <v>6</v>
      </c>
      <c r="F298" s="5"/>
      <c r="G298" s="5" t="str">
        <f>IFERROR(__xludf.DUMMYFUNCTION("""COMPUTED_VALUE"""),"โมเดสผ้าอนามัยแม๊กซีคอตตอนนีไม่มีปีก20pc")</f>
        <v>โมเดสผ้าอนามัยแม๊กซีคอตตอนนีไม่มีปีก20pc</v>
      </c>
      <c r="H298" s="7">
        <f>IFERROR(__xludf.DUMMYFUNCTION("""COMPUTED_VALUE"""),47.0)</f>
        <v>47</v>
      </c>
      <c r="I298" s="7"/>
      <c r="J298" s="5"/>
    </row>
    <row r="299">
      <c r="A299" s="5">
        <f>IFERROR(__xludf.DUMMYFUNCTION("""COMPUTED_VALUE"""),4210013.0)</f>
        <v>4210013</v>
      </c>
      <c r="B299" s="6" t="str">
        <f>IFERROR(__xludf.DUMMYFUNCTION("""COMPUTED_VALUE"""),"4210013221010306")</f>
        <v>4210013221010306</v>
      </c>
      <c r="C299" s="5" t="str">
        <f>IFERROR(__xludf.DUMMYFUNCTION("""COMPUTED_VALUE"""),"ผ้าอนามัย ชนิดแถบกาว แม๊กซี่ ไม่มีปีก บรรจุห่อพลาสติก\ ขนาด 20 ชิ้น \ตราลอริเอะ รุ่น soft&amp;safe นุ่มสบายปกป้องยาวนาน ควิกล็อคซิสเตมไม่ไหลย้อนกลับ")</f>
        <v>ผ้าอนามัย ชนิดแถบกาว แม๊กซี่ ไม่มีปีก บรรจุห่อพลาสติก\ ขนาด 20 ชิ้น \ตราลอริเอะ รุ่น soft&amp;safe นุ่มสบายปกป้องยาวนาน ควิกล็อคซิสเตมไม่ไหลย้อนกลับ</v>
      </c>
      <c r="D299" s="5">
        <f>IFERROR(__xludf.DUMMYFUNCTION("""COMPUTED_VALUE"""),1.0)</f>
        <v>1</v>
      </c>
      <c r="E299" s="5">
        <f>IFERROR(__xludf.DUMMYFUNCTION("""COMPUTED_VALUE"""),7.0)</f>
        <v>7</v>
      </c>
      <c r="F299" s="5">
        <f>IFERROR(__xludf.DUMMYFUNCTION("""COMPUTED_VALUE"""),8.851818191761E12)</f>
        <v>8851818191761</v>
      </c>
      <c r="G299" s="5" t="str">
        <f>IFERROR(__xludf.DUMMYFUNCTION("""COMPUTED_VALUE"""),"ลอรีเอะซอฟท์&amp;เซฟสลิม20pc")</f>
        <v>ลอรีเอะซอฟท์&amp;เซฟสลิม20pc</v>
      </c>
      <c r="H299" s="7">
        <f>IFERROR(__xludf.DUMMYFUNCTION("""COMPUTED_VALUE"""),42.0)</f>
        <v>42</v>
      </c>
      <c r="I299" s="7"/>
      <c r="J299" s="5"/>
    </row>
    <row r="300">
      <c r="A300" s="5">
        <f>IFERROR(__xludf.DUMMYFUNCTION("""COMPUTED_VALUE"""),4210013.0)</f>
        <v>4210013</v>
      </c>
      <c r="B300" s="6" t="str">
        <f>IFERROR(__xludf.DUMMYFUNCTION("""COMPUTED_VALUE"""),"4210013311030104")</f>
        <v>4210013311030104</v>
      </c>
      <c r="C300" s="5" t="str">
        <f>IFERROR(__xludf.DUMMYFUNCTION("""COMPUTED_VALUE"""),"ผ้าอนามัย ชนิดแถบกาว สลิม มีปีก บรรจุห่อพลาสติก\ ขนาด 16 ชิ้น\ ตราลอริเอะ นุ่มสบายปกป้องนานซึมซับ5เท่า")</f>
        <v>ผ้าอนามัย ชนิดแถบกาว สลิม มีปีก บรรจุห่อพลาสติก\ ขนาด 16 ชิ้น\ ตราลอริเอะ นุ่มสบายปกป้องนานซึมซับ5เท่า</v>
      </c>
      <c r="D300" s="5">
        <f>IFERROR(__xludf.DUMMYFUNCTION("""COMPUTED_VALUE"""),1.0)</f>
        <v>1</v>
      </c>
      <c r="E300" s="5">
        <f>IFERROR(__xludf.DUMMYFUNCTION("""COMPUTED_VALUE"""),8.0)</f>
        <v>8</v>
      </c>
      <c r="F300" s="5"/>
      <c r="G300" s="5" t="str">
        <f>IFERROR(__xludf.DUMMYFUNCTION("""COMPUTED_VALUE"""),"ลอรีเอะซอฟท์&amp;เซฟสลิมปีก16pc")</f>
        <v>ลอรีเอะซอฟท์&amp;เซฟสลิมปีก16pc</v>
      </c>
      <c r="H300" s="7">
        <f>IFERROR(__xludf.DUMMYFUNCTION("""COMPUTED_VALUE"""),42.0)</f>
        <v>42</v>
      </c>
      <c r="I300" s="7">
        <f>IFERROR(__xludf.DUMMYFUNCTION("""COMPUTED_VALUE"""),39.0)</f>
        <v>39</v>
      </c>
      <c r="J300" s="5" t="str">
        <f>IFERROR(__xludf.DUMMYFUNCTION("""COMPUTED_VALUE"""),"PROMOTION MAIL (รอบ 25 ก.ย. - 24 ต.ค. 69)")</f>
        <v>PROMOTION MAIL (รอบ 25 ก.ย. - 24 ต.ค. 69)</v>
      </c>
    </row>
    <row r="301">
      <c r="A301" s="5">
        <f>IFERROR(__xludf.DUMMYFUNCTION("""COMPUTED_VALUE"""),4210013.0)</f>
        <v>4210013</v>
      </c>
      <c r="B301" s="6" t="str">
        <f>IFERROR(__xludf.DUMMYFUNCTION("""COMPUTED_VALUE"""),"4210013311030106")</f>
        <v>4210013311030106</v>
      </c>
      <c r="C301" s="5" t="str">
        <f>IFERROR(__xludf.DUMMYFUNCTION("""COMPUTED_VALUE"""),"ผ้าอนามัย ชนิดแถบกาว สลิม มีปีก บรรจุห่อพลาสติก \ ขนาด 16 ชิ้น \ ตราลอรีเอะ รุ่น Soft &amp; Safe นุ่มสบาย ปกป้องนาน เพิ่มพลังซึมซับ แห้งขึ้น x 5 เท่า ควิกล็อกซิสเต็ม ไม่ไหลย้อนกลับ สำหรับกลางวัน")</f>
        <v>ผ้าอนามัย ชนิดแถบกาว สลิม มีปีก บรรจุห่อพลาสติก \ ขนาด 16 ชิ้น \ ตราลอรีเอะ รุ่น Soft &amp; Safe นุ่มสบาย ปกป้องนาน เพิ่มพลังซึมซับ แห้งขึ้น x 5 เท่า ควิกล็อกซิสเต็ม ไม่ไหลย้อนกลับ สำหรับกลางวัน</v>
      </c>
      <c r="D301" s="5">
        <f>IFERROR(__xludf.DUMMYFUNCTION("""COMPUTED_VALUE"""),1.0)</f>
        <v>1</v>
      </c>
      <c r="E301" s="5">
        <f>IFERROR(__xludf.DUMMYFUNCTION("""COMPUTED_VALUE"""),9.0)</f>
        <v>9</v>
      </c>
      <c r="F301" s="5"/>
      <c r="G301" s="5" t="str">
        <f>IFERROR(__xludf.DUMMYFUNCTION("""COMPUTED_VALUE"""),"ลอรีเอะซอฟท์&amp;เซฟสลิมปีก16pc")</f>
        <v>ลอรีเอะซอฟท์&amp;เซฟสลิมปีก16pc</v>
      </c>
      <c r="H301" s="7">
        <f>IFERROR(__xludf.DUMMYFUNCTION("""COMPUTED_VALUE"""),42.0)</f>
        <v>42</v>
      </c>
      <c r="I301" s="7">
        <f>IFERROR(__xludf.DUMMYFUNCTION("""COMPUTED_VALUE"""),39.0)</f>
        <v>39</v>
      </c>
      <c r="J301" s="5" t="str">
        <f>IFERROR(__xludf.DUMMYFUNCTION("""COMPUTED_VALUE"""),"PROMOTION MAIL (รอบ 25 ก.ย. - 24 ต.ค. 69)")</f>
        <v>PROMOTION MAIL (รอบ 25 ก.ย. - 24 ต.ค. 69)</v>
      </c>
    </row>
    <row r="302">
      <c r="A302" s="5">
        <f>IFERROR(__xludf.DUMMYFUNCTION("""COMPUTED_VALUE"""),4210013.0)</f>
        <v>4210013</v>
      </c>
      <c r="B302" s="6" t="str">
        <f>IFERROR(__xludf.DUMMYFUNCTION("""COMPUTED_VALUE"""),"4210013311060202")</f>
        <v>4210013311060202</v>
      </c>
      <c r="C302" s="5" t="str">
        <f>IFERROR(__xludf.DUMMYFUNCTION("""COMPUTED_VALUE"""),"ผ้าอนามัย ชนิดแถบกาว สลิม มีปีก บรรจุพลาสติก \ ขนาด 14 ชิ้น \ ตราลอรีเอะ รุ่น Soft &amp; Safe นุ่มสบาย ปกป้องนาน เพิ่มพลังซึมซับ แห้งขึ้น x 5 เท่า ควิกล็อกซิสเต็ม ไม่ไหลย้อนกลับ สำหรับกลางวันมามาก 25 ซม.")</f>
        <v>ผ้าอนามัย ชนิดแถบกาว สลิม มีปีก บรรจุพลาสติก \ ขนาด 14 ชิ้น \ ตราลอรีเอะ รุ่น Soft &amp; Safe นุ่มสบาย ปกป้องนาน เพิ่มพลังซึมซับ แห้งขึ้น x 5 เท่า ควิกล็อกซิสเต็ม ไม่ไหลย้อนกลับ สำหรับกลางวันมามาก 25 ซม.</v>
      </c>
      <c r="D302" s="5">
        <f>IFERROR(__xludf.DUMMYFUNCTION("""COMPUTED_VALUE"""),1.0)</f>
        <v>1</v>
      </c>
      <c r="E302" s="5">
        <f>IFERROR(__xludf.DUMMYFUNCTION("""COMPUTED_VALUE"""),11.0)</f>
        <v>11</v>
      </c>
      <c r="F302" s="5"/>
      <c r="G302" s="5" t="str">
        <f>IFERROR(__xludf.DUMMYFUNCTION("""COMPUTED_VALUE"""),"ลอรีเอะซอฟท์&amp;เซฟสลิมปีก25cm14pc")</f>
        <v>ลอรีเอะซอฟท์&amp;เซฟสลิมปีก25cm14pc</v>
      </c>
      <c r="H302" s="7">
        <f>IFERROR(__xludf.DUMMYFUNCTION("""COMPUTED_VALUE"""),42.0)</f>
        <v>42</v>
      </c>
      <c r="I302" s="7"/>
      <c r="J302" s="5"/>
    </row>
    <row r="303">
      <c r="A303" s="5">
        <f>IFERROR(__xludf.DUMMYFUNCTION("""COMPUTED_VALUE"""),4210013.0)</f>
        <v>4210013</v>
      </c>
      <c r="B303" s="6" t="str">
        <f>IFERROR(__xludf.DUMMYFUNCTION("""COMPUTED_VALUE"""),"4210013321010403")</f>
        <v>4210013321010403</v>
      </c>
      <c r="C303" s="5" t="str">
        <f>IFERROR(__xludf.DUMMYFUNCTION("""COMPUTED_VALUE"""),"ผ้าอนามัย ชนิดแถบกาว สลิม ไม่มีปีก บรรจุห่อพลาสติก\ ขนาด 20 ชิ้น \ตราลอริเอะ รุ่น soft&amp;safe นุ่มสบายปกป้องยาวนาน ควิกล็อคซิสเตมไม่ไหลย้อนกลับสำหรับกลางวัน")</f>
        <v>ผ้าอนามัย ชนิดแถบกาว สลิม ไม่มีปีก บรรจุห่อพลาสติก\ ขนาด 20 ชิ้น \ตราลอริเอะ รุ่น soft&amp;safe นุ่มสบายปกป้องยาวนาน ควิกล็อคซิสเตมไม่ไหลย้อนกลับสำหรับกลางวัน</v>
      </c>
      <c r="D303" s="5">
        <f>IFERROR(__xludf.DUMMYFUNCTION("""COMPUTED_VALUE"""),1.0)</f>
        <v>1</v>
      </c>
      <c r="E303" s="5">
        <f>IFERROR(__xludf.DUMMYFUNCTION("""COMPUTED_VALUE"""),12.0)</f>
        <v>12</v>
      </c>
      <c r="F303" s="5"/>
      <c r="G303" s="5" t="str">
        <f>IFERROR(__xludf.DUMMYFUNCTION("""COMPUTED_VALUE"""),"ลอรีเอะซอฟท์&amp;เซฟสลิม20pc")</f>
        <v>ลอรีเอะซอฟท์&amp;เซฟสลิม20pc</v>
      </c>
      <c r="H303" s="7">
        <f>IFERROR(__xludf.DUMMYFUNCTION("""COMPUTED_VALUE"""),42.0)</f>
        <v>42</v>
      </c>
      <c r="I303" s="7"/>
      <c r="J303" s="5"/>
    </row>
    <row r="304">
      <c r="A304" s="5">
        <f>IFERROR(__xludf.DUMMYFUNCTION("""COMPUTED_VALUE"""),4210019.0)</f>
        <v>4210019</v>
      </c>
      <c r="B304" s="6" t="str">
        <f>IFERROR(__xludf.DUMMYFUNCTION("""COMPUTED_VALUE"""),"4210019111010222")</f>
        <v>4210019111010222</v>
      </c>
      <c r="C304" s="5" t="str">
        <f>IFERROR(__xludf.DUMMYFUNCTION("""COMPUTED_VALUE"""),"น้ำยาระงับกลิ่นกาย ชนิดโรลออน บรรจุขวด ขนาด 50 ม.ล. ตรานีเวีย รุ่น pearl&amp;beauty")</f>
        <v>น้ำยาระงับกลิ่นกาย ชนิดโรลออน บรรจุขวด ขนาด 50 ม.ล. ตรานีเวีย รุ่น pearl&amp;beauty</v>
      </c>
      <c r="D304" s="5">
        <f>IFERROR(__xludf.DUMMYFUNCTION("""COMPUTED_VALUE"""),2.0)</f>
        <v>2</v>
      </c>
      <c r="E304" s="5">
        <f>IFERROR(__xludf.DUMMYFUNCTION("""COMPUTED_VALUE"""),1.0)</f>
        <v>1</v>
      </c>
      <c r="F304" s="5">
        <f>IFERROR(__xludf.DUMMYFUNCTION("""COMPUTED_VALUE"""),8.850029212845E12)</f>
        <v>8850029212845</v>
      </c>
      <c r="G304" s="5" t="str">
        <f>IFERROR(__xludf.DUMMYFUNCTION("""COMPUTED_VALUE"""),"นีเวียโรลออนเพิร์ล&amp;บิวตี้50ml")</f>
        <v>นีเวียโรลออนเพิร์ล&amp;บิวตี้50ml</v>
      </c>
      <c r="H304" s="7">
        <f>IFERROR(__xludf.DUMMYFUNCTION("""COMPUTED_VALUE"""),109.0)</f>
        <v>109</v>
      </c>
      <c r="I304" s="7"/>
      <c r="J304" s="5"/>
    </row>
    <row r="305">
      <c r="A305" s="5">
        <f>IFERROR(__xludf.DUMMYFUNCTION("""COMPUTED_VALUE"""),4210019.0)</f>
        <v>4210019</v>
      </c>
      <c r="B305" s="6" t="str">
        <f>IFERROR(__xludf.DUMMYFUNCTION("""COMPUTED_VALUE"""),"4210019111040602")</f>
        <v>4210019111040602</v>
      </c>
      <c r="C305" s="5" t="str">
        <f>IFERROR(__xludf.DUMMYFUNCTION("""COMPUTED_VALUE"""),"น้ำยาระงับกลิ่นกาย ชนิดโรลออน บรรจุขวด ขนาด 45 ม.ล. ตราทเวลฟ์ พลัส ไวท์เทนนิ่ง&amp;เลสเชฟ")</f>
        <v>น้ำยาระงับกลิ่นกาย ชนิดโรลออน บรรจุขวด ขนาด 45 ม.ล. ตราทเวลฟ์ พลัส ไวท์เทนนิ่ง&amp;เลสเชฟ</v>
      </c>
      <c r="D305" s="5">
        <f>IFERROR(__xludf.DUMMYFUNCTION("""COMPUTED_VALUE"""),2.0)</f>
        <v>2</v>
      </c>
      <c r="E305" s="5">
        <f>IFERROR(__xludf.DUMMYFUNCTION("""COMPUTED_VALUE"""),2.0)</f>
        <v>2</v>
      </c>
      <c r="F305" s="5">
        <f>IFERROR(__xludf.DUMMYFUNCTION("""COMPUTED_VALUE"""),8.851123809061E12)</f>
        <v>8851123809061</v>
      </c>
      <c r="G305" s="5" t="str">
        <f>IFERROR(__xludf.DUMMYFUNCTION("""COMPUTED_VALUE"""),"12plusโรลออนดับเบิ้ลไวท์ชมพู45ml")</f>
        <v>12plusโรลออนดับเบิ้ลไวท์ชมพู45ml</v>
      </c>
      <c r="H305" s="7">
        <f>IFERROR(__xludf.DUMMYFUNCTION("""COMPUTED_VALUE"""),89.0)</f>
        <v>89</v>
      </c>
      <c r="I305" s="7">
        <f>IFERROR(__xludf.DUMMYFUNCTION("""COMPUTED_VALUE"""),44.0)</f>
        <v>44</v>
      </c>
      <c r="J305" s="5"/>
    </row>
    <row r="306">
      <c r="A306" s="5">
        <f>IFERROR(__xludf.DUMMYFUNCTION("""COMPUTED_VALUE"""),4210020.0)</f>
        <v>4210020</v>
      </c>
      <c r="B306" s="6" t="str">
        <f>IFERROR(__xludf.DUMMYFUNCTION("""COMPUTED_VALUE"""),"4210020111260105")</f>
        <v>4210020111260105</v>
      </c>
      <c r="C306" s="5" t="str">
        <f>IFERROR(__xludf.DUMMYFUNCTION("""COMPUTED_VALUE"""),"แป้งผัดหน้า ชนิดอัดแข็ง บรรจุตลับ\ ขนาด 6 กรัม \ ตรา MAYBELLINE รุ่น FITME MATTE+PORELESS spf32PA+++")</f>
        <v>แป้งผัดหน้า ชนิดอัดแข็ง บรรจุตลับ\ ขนาด 6 กรัม \ ตรา MAYBELLINE รุ่น FITME MATTE+PORELESS spf32PA+++</v>
      </c>
      <c r="D306" s="5">
        <f>IFERROR(__xludf.DUMMYFUNCTION("""COMPUTED_VALUE"""),4.0)</f>
        <v>4</v>
      </c>
      <c r="E306" s="5">
        <f>IFERROR(__xludf.DUMMYFUNCTION("""COMPUTED_VALUE"""),1.0)</f>
        <v>1</v>
      </c>
      <c r="F306" s="5">
        <f>IFERROR(__xludf.DUMMYFUNCTION("""COMPUTED_VALUE"""),6.902395762386E12)</f>
        <v>6902395762386</v>
      </c>
      <c r="G306" s="5" t="str">
        <f>IFERROR(__xludf.DUMMYFUNCTION("""COMPUTED_VALUE"""),"MBLแป้งฟิตมีแมทควบคุมมัน109 6g.")</f>
        <v>MBLแป้งฟิตมีแมทควบคุมมัน109 6g.</v>
      </c>
      <c r="H306" s="7">
        <f>IFERROR(__xludf.DUMMYFUNCTION("""COMPUTED_VALUE"""),169.0)</f>
        <v>169</v>
      </c>
      <c r="I306" s="7"/>
      <c r="J306" s="5"/>
    </row>
    <row r="307">
      <c r="A307" s="5">
        <f>IFERROR(__xludf.DUMMYFUNCTION("""COMPUTED_VALUE"""),4210020.0)</f>
        <v>4210020</v>
      </c>
      <c r="B307" s="6" t="str">
        <f>IFERROR(__xludf.DUMMYFUNCTION("""COMPUTED_VALUE"""),"4210020111270102")</f>
        <v>4210020111270102</v>
      </c>
      <c r="C307" s="5" t="str">
        <f>IFERROR(__xludf.DUMMYFUNCTION("""COMPUTED_VALUE"""),"แป้งผัดหน้า ชนิดอัดแข็ง บรรจุตลับ\ ขนาด 4.5 กรัม \ ตรา เคธี่ดอล รุ่น ซีซีสปีดคัฟเวอร์พาวเดอร์ เอสพีเอฟ40 พีเอ+++ (Cathy CC Speed Cover Powder SPF 40 PA+++)")</f>
        <v>แป้งผัดหน้า ชนิดอัดแข็ง บรรจุตลับ\ ขนาด 4.5 กรัม \ ตรา เคธี่ดอล รุ่น ซีซีสปีดคัฟเวอร์พาวเดอร์ เอสพีเอฟ40 พีเอ+++ (Cathy CC Speed Cover Powder SPF 40 PA+++)</v>
      </c>
      <c r="D307" s="5">
        <f>IFERROR(__xludf.DUMMYFUNCTION("""COMPUTED_VALUE"""),1.0)</f>
        <v>1</v>
      </c>
      <c r="E307" s="5">
        <f>IFERROR(__xludf.DUMMYFUNCTION("""COMPUTED_VALUE"""),3.0)</f>
        <v>3</v>
      </c>
      <c r="F307" s="5">
        <f>IFERROR(__xludf.DUMMYFUNCTION("""COMPUTED_VALUE"""),8.858842042489E12)</f>
        <v>8858842042489</v>
      </c>
      <c r="G307" s="5" t="str">
        <f>IFERROR(__xludf.DUMMYFUNCTION("""COMPUTED_VALUE"""),"เคที่ดอลล์CCสปีดคัฟเวอร์พาวเดอร์ 02 4.5g")</f>
        <v>เคที่ดอลล์CCสปีดคัฟเวอร์พาวเดอร์ 02 4.5g</v>
      </c>
      <c r="H307" s="7">
        <f>IFERROR(__xludf.DUMMYFUNCTION("""COMPUTED_VALUE"""),79.0)</f>
        <v>79</v>
      </c>
      <c r="I307" s="7">
        <f>IFERROR(__xludf.DUMMYFUNCTION("""COMPUTED_VALUE"""),39.0)</f>
        <v>39</v>
      </c>
      <c r="J307" s="5"/>
    </row>
    <row r="308">
      <c r="A308" s="5">
        <f>IFERROR(__xludf.DUMMYFUNCTION("""COMPUTED_VALUE"""),4210020.0)</f>
        <v>4210020</v>
      </c>
      <c r="B308" s="6" t="str">
        <f>IFERROR(__xludf.DUMMYFUNCTION("""COMPUTED_VALUE"""),"4210020111280102")</f>
        <v>4210020111280102</v>
      </c>
      <c r="C308" s="5" t="str">
        <f>IFERROR(__xludf.DUMMYFUNCTION("""COMPUTED_VALUE"""),"แป้งผัดหน้า ชนิดอัดแข็ง บรรจุตลับ\ ขนาด 5 กรัม\ ตราคิวเพลส รุ่น Evory Snow")</f>
        <v>แป้งผัดหน้า ชนิดอัดแข็ง บรรจุตลับ\ ขนาด 5 กรัม\ ตราคิวเพลส รุ่น Evory Snow</v>
      </c>
      <c r="D308" s="5">
        <f>IFERROR(__xludf.DUMMYFUNCTION("""COMPUTED_VALUE"""),1.0)</f>
        <v>1</v>
      </c>
      <c r="E308" s="5">
        <f>IFERROR(__xludf.DUMMYFUNCTION("""COMPUTED_VALUE"""),5.0)</f>
        <v>5</v>
      </c>
      <c r="F308" s="5">
        <f>IFERROR(__xludf.DUMMYFUNCTION("""COMPUTED_VALUE"""),8.850080750027E12)</f>
        <v>8850080750027</v>
      </c>
      <c r="G308" s="5" t="str">
        <f>IFERROR(__xludf.DUMMYFUNCTION("""COMPUTED_VALUE"""),"PM_คิวท์เพรสแป้งผสมรองพื้นสโนว์N25g")</f>
        <v>PM_คิวท์เพรสแป้งผสมรองพื้นสโนว์N25g</v>
      </c>
      <c r="H308" s="7">
        <f>IFERROR(__xludf.DUMMYFUNCTION("""COMPUTED_VALUE"""),79.0)</f>
        <v>79</v>
      </c>
      <c r="I308" s="7"/>
      <c r="J308" s="5"/>
    </row>
    <row r="309">
      <c r="A309" s="5">
        <f>IFERROR(__xludf.DUMMYFUNCTION("""COMPUTED_VALUE"""),4210021.0)</f>
        <v>4210021</v>
      </c>
      <c r="B309" s="6" t="str">
        <f>IFERROR(__xludf.DUMMYFUNCTION("""COMPUTED_VALUE"""),"4210021111020107")</f>
        <v>4210021111020107</v>
      </c>
      <c r="C309" s="5" t="str">
        <f>IFERROR(__xludf.DUMMYFUNCTION("""COMPUTED_VALUE"""),"แป้งทาผิว ชนิดฝุ่นธรรมดา \บรรจุกระป๋อง\ ขนาด 200 กรัม\ ตราจอนห์สัน cornstarch รุ่น บลอสซั่ม")</f>
        <v>แป้งทาผิว ชนิดฝุ่นธรรมดา \บรรจุกระป๋อง\ ขนาด 200 กรัม\ ตราจอนห์สัน cornstarch รุ่น บลอสซั่ม</v>
      </c>
      <c r="D309" s="5">
        <f>IFERROR(__xludf.DUMMYFUNCTION("""COMPUTED_VALUE"""),2.0)</f>
        <v>2</v>
      </c>
      <c r="E309" s="5">
        <f>IFERROR(__xludf.DUMMYFUNCTION("""COMPUTED_VALUE"""),1.0)</f>
        <v>1</v>
      </c>
      <c r="F309" s="5">
        <f>IFERROR(__xludf.DUMMYFUNCTION("""COMPUTED_VALUE"""),8.850007015222E12)</f>
        <v>8850007015222</v>
      </c>
      <c r="G309" s="5" t="str">
        <f>IFERROR(__xludf.DUMMYFUNCTION("""COMPUTED_VALUE"""),"จอห์นสันแป้งเด็กคอร์นบลอสซั่ม200g")</f>
        <v>จอห์นสันแป้งเด็กคอร์นบลอสซั่ม200g</v>
      </c>
      <c r="H309" s="7"/>
      <c r="I309" s="7"/>
      <c r="J309" s="5"/>
    </row>
    <row r="310">
      <c r="A310" s="5">
        <f>IFERROR(__xludf.DUMMYFUNCTION("""COMPUTED_VALUE"""),4210021.0)</f>
        <v>4210021</v>
      </c>
      <c r="B310" s="6" t="str">
        <f>IFERROR(__xludf.DUMMYFUNCTION("""COMPUTED_VALUE"""),"4210021121100102")</f>
        <v>4210021121100102</v>
      </c>
      <c r="C310" s="5" t="str">
        <f>IFERROR(__xludf.DUMMYFUNCTION("""COMPUTED_VALUE"""),"แป้งทาผิว ชนิดฝุ่นเย็น \บรรจุกระป๋อง \ ขนาด140 กรัม\ ตราตรางู ไว คลาสสิค")</f>
        <v>แป้งทาผิว ชนิดฝุ่นเย็น \บรรจุกระป๋อง \ ขนาด140 กรัม\ ตราตรางู ไว คลาสสิค</v>
      </c>
      <c r="D310" s="5">
        <f>IFERROR(__xludf.DUMMYFUNCTION("""COMPUTED_VALUE"""),2.0)</f>
        <v>2</v>
      </c>
      <c r="E310" s="5">
        <f>IFERROR(__xludf.DUMMYFUNCTION("""COMPUTED_VALUE"""),2.0)</f>
        <v>2</v>
      </c>
      <c r="F310" s="5">
        <f>IFERROR(__xludf.DUMMYFUNCTION("""COMPUTED_VALUE"""),8.852086001028E12)</f>
        <v>8852086001028</v>
      </c>
      <c r="G310" s="5" t="str">
        <f>IFERROR(__xludf.DUMMYFUNCTION("""COMPUTED_VALUE"""),"ตรางูแป้งเย็นปริกลีฮีทคลาสสิค140g")</f>
        <v>ตรางูแป้งเย็นปริกลีฮีทคลาสสิค140g</v>
      </c>
      <c r="H310" s="7">
        <f>IFERROR(__xludf.DUMMYFUNCTION("""COMPUTED_VALUE"""),36.0)</f>
        <v>36</v>
      </c>
      <c r="I310" s="7">
        <f>IFERROR(__xludf.DUMMYFUNCTION("""COMPUTED_VALUE"""),33.0)</f>
        <v>33</v>
      </c>
      <c r="J310" s="5" t="str">
        <f>IFERROR(__xludf.DUMMYFUNCTION("""COMPUTED_VALUE"""),"EDLP 15 JUL-14 OCT 2026")</f>
        <v>EDLP 15 JUL-14 OCT 2026</v>
      </c>
    </row>
    <row r="311">
      <c r="A311" s="5">
        <f>IFERROR(__xludf.DUMMYFUNCTION("""COMPUTED_VALUE"""),4210021.0)</f>
        <v>4210021</v>
      </c>
      <c r="B311" s="6" t="str">
        <f>IFERROR(__xludf.DUMMYFUNCTION("""COMPUTED_VALUE"""),"4210021121100201")</f>
        <v>4210021121100201</v>
      </c>
      <c r="C311" s="5" t="str">
        <f>IFERROR(__xludf.DUMMYFUNCTION("""COMPUTED_VALUE"""),"แป้งทาผิว ชนิดฝุ่นเย็น \บรรจุกระป๋อง \ ขนาด140 กรัม\ ตราโพเทค ไอซี่คูล")</f>
        <v>แป้งทาผิว ชนิดฝุ่นเย็น \บรรจุกระป๋อง \ ขนาด140 กรัม\ ตราโพเทค ไอซี่คูล</v>
      </c>
      <c r="D311" s="5">
        <f>IFERROR(__xludf.DUMMYFUNCTION("""COMPUTED_VALUE"""),2.0)</f>
        <v>2</v>
      </c>
      <c r="E311" s="5">
        <f>IFERROR(__xludf.DUMMYFUNCTION("""COMPUTED_VALUE"""),3.0)</f>
        <v>3</v>
      </c>
      <c r="F311" s="5">
        <f>IFERROR(__xludf.DUMMYFUNCTION("""COMPUTED_VALUE"""),8.850006603185E12)</f>
        <v>8850006603185</v>
      </c>
      <c r="G311" s="5" t="str">
        <f>IFERROR(__xludf.DUMMYFUNCTION("""COMPUTED_VALUE"""),"โพรเทคส์แป้งเย็นไอซ์ซี่คูล140g")</f>
        <v>โพรเทคส์แป้งเย็นไอซ์ซี่คูล140g</v>
      </c>
      <c r="H311" s="7">
        <f>IFERROR(__xludf.DUMMYFUNCTION("""COMPUTED_VALUE"""),38.0)</f>
        <v>38</v>
      </c>
      <c r="I311" s="7"/>
      <c r="J311" s="5"/>
    </row>
    <row r="312">
      <c r="A312" s="5">
        <f>IFERROR(__xludf.DUMMYFUNCTION("""COMPUTED_VALUE"""),4210021.0)</f>
        <v>4210021</v>
      </c>
      <c r="B312" s="6" t="str">
        <f>IFERROR(__xludf.DUMMYFUNCTION("""COMPUTED_VALUE"""),"4210021111200101")</f>
        <v>4210021111200101</v>
      </c>
      <c r="C312" s="5" t="str">
        <f>IFERROR(__xludf.DUMMYFUNCTION("""COMPUTED_VALUE"""),"แป้งทาผิว ชนิดฝุ่นธรรมดา \บรรจุกระป๋อง\ ขนาด 160 กรัม\ ตราแคร์ รุ่นคลาสสิค")</f>
        <v>แป้งทาผิว ชนิดฝุ่นธรรมดา \บรรจุกระป๋อง\ ขนาด 160 กรัม\ ตราแคร์ รุ่นคลาสสิค</v>
      </c>
      <c r="D312" s="5">
        <f>IFERROR(__xludf.DUMMYFUNCTION("""COMPUTED_VALUE"""),1.0)</f>
        <v>1</v>
      </c>
      <c r="E312" s="5">
        <f>IFERROR(__xludf.DUMMYFUNCTION("""COMPUTED_VALUE"""),4.0)</f>
        <v>4</v>
      </c>
      <c r="F312" s="5">
        <f>IFERROR(__xludf.DUMMYFUNCTION("""COMPUTED_VALUE"""),8.850006572061E12)</f>
        <v>8850006572061</v>
      </c>
      <c r="G312" s="5" t="str">
        <f>IFERROR(__xludf.DUMMYFUNCTION("""COMPUTED_VALUE"""),"แคร์แป้งเด็กสีฟ้า160g")</f>
        <v>แคร์แป้งเด็กสีฟ้า160g</v>
      </c>
      <c r="H312" s="7">
        <f>IFERROR(__xludf.DUMMYFUNCTION("""COMPUTED_VALUE"""),34.0)</f>
        <v>34</v>
      </c>
      <c r="I312" s="7"/>
      <c r="J312" s="5"/>
    </row>
    <row r="313">
      <c r="A313" s="5">
        <f>IFERROR(__xludf.DUMMYFUNCTION("""COMPUTED_VALUE"""),4210021.0)</f>
        <v>4210021</v>
      </c>
      <c r="B313" s="6" t="str">
        <f>IFERROR(__xludf.DUMMYFUNCTION("""COMPUTED_VALUE"""),"4210021111200203")</f>
        <v>4210021111200203</v>
      </c>
      <c r="C313" s="5" t="str">
        <f>IFERROR(__xludf.DUMMYFUNCTION("""COMPUTED_VALUE"""),"แป้งทาผิว ชนิดฝุ่นธรรมดา \บรรจุกระป๋อง\ ขนาด 160 กรัม \ ตราเบบี้มาย สูตรสวีทตี้พิงค์ ออร์แกนิก เบบี้ พาวเดอร์")</f>
        <v>แป้งทาผิว ชนิดฝุ่นธรรมดา \บรรจุกระป๋อง\ ขนาด 160 กรัม \ ตราเบบี้มาย สูตรสวีทตี้พิงค์ ออร์แกนิก เบบี้ พาวเดอร์</v>
      </c>
      <c r="D313" s="5">
        <f>IFERROR(__xludf.DUMMYFUNCTION("""COMPUTED_VALUE"""),1.0)</f>
        <v>1</v>
      </c>
      <c r="E313" s="5">
        <f>IFERROR(__xludf.DUMMYFUNCTION("""COMPUTED_VALUE"""),6.0)</f>
        <v>6</v>
      </c>
      <c r="F313" s="5">
        <f>IFERROR(__xludf.DUMMYFUNCTION("""COMPUTED_VALUE"""),8.851123703468E12)</f>
        <v>8851123703468</v>
      </c>
      <c r="G313" s="5" t="str">
        <f>IFERROR(__xludf.DUMMYFUNCTION("""COMPUTED_VALUE"""),"เบบี้มายด์แป้งเด็กสวีทตี้พิงค์160g")</f>
        <v>เบบี้มายด์แป้งเด็กสวีทตี้พิงค์160g</v>
      </c>
      <c r="H313" s="7">
        <f>IFERROR(__xludf.DUMMYFUNCTION("""COMPUTED_VALUE"""),32.0)</f>
        <v>32</v>
      </c>
      <c r="I313" s="7"/>
      <c r="J313" s="5"/>
    </row>
    <row r="314">
      <c r="A314" s="5">
        <f>IFERROR(__xludf.DUMMYFUNCTION("""COMPUTED_VALUE"""),4210022.0)</f>
        <v>4210022</v>
      </c>
      <c r="B314" s="6" t="str">
        <f>IFERROR(__xludf.DUMMYFUNCTION("""COMPUTED_VALUE"""),"4210022101010214")</f>
        <v>4210022101010214</v>
      </c>
      <c r="C314" s="5" t="str">
        <f>IFERROR(__xludf.DUMMYFUNCTION("""COMPUTED_VALUE"""),"โฟมล้างหน้า แบบครีม สำหรับผู้หญิง บรรจุหลอดพลาสติก ขนาด 100 กรัม ตรา Nivea รุ่น Pearl White Micro BUBBLES DEEP CLEAN")</f>
        <v>โฟมล้างหน้า แบบครีม สำหรับผู้หญิง บรรจุหลอดพลาสติก ขนาด 100 กรัม ตรา Nivea รุ่น Pearl White Micro BUBBLES DEEP CLEAN</v>
      </c>
      <c r="D314" s="5">
        <f>IFERROR(__xludf.DUMMYFUNCTION("""COMPUTED_VALUE"""),2.0)</f>
        <v>2</v>
      </c>
      <c r="E314" s="5">
        <f>IFERROR(__xludf.DUMMYFUNCTION("""COMPUTED_VALUE"""),1.0)</f>
        <v>1</v>
      </c>
      <c r="F314" s="5">
        <f>IFERROR(__xludf.DUMMYFUNCTION("""COMPUTED_VALUE"""),4.005808757473E12)</f>
        <v>4005808757473</v>
      </c>
      <c r="G314" s="5" t="str">
        <f>IFERROR(__xludf.DUMMYFUNCTION("""COMPUTED_VALUE"""),"นีเวียโฟมล้างหน้าเพิร์ลไวท์100g")</f>
        <v>นีเวียโฟมล้างหน้าเพิร์ลไวท์100g</v>
      </c>
      <c r="H314" s="7">
        <f>IFERROR(__xludf.DUMMYFUNCTION("""COMPUTED_VALUE"""),139.0)</f>
        <v>139</v>
      </c>
      <c r="I314" s="7"/>
      <c r="J314" s="5"/>
    </row>
    <row r="315">
      <c r="A315" s="5">
        <f>IFERROR(__xludf.DUMMYFUNCTION("""COMPUTED_VALUE"""),4210022.0)</f>
        <v>4210022</v>
      </c>
      <c r="B315" s="6" t="str">
        <f>IFERROR(__xludf.DUMMYFUNCTION("""COMPUTED_VALUE"""),"4210022101050104")</f>
        <v>4210022101050104</v>
      </c>
      <c r="C315" s="5" t="str">
        <f>IFERROR(__xludf.DUMMYFUNCTION("""COMPUTED_VALUE"""),"โฟมล้างหน้า แบบครีม สำหรับผู้หญิง บรรจุหลอดพลาสติก ขนาด 90 กรัม ตรา Pond รุ่น BRIGHT MIRACLE ULTIMATE CLARITY NIASORCINOL")</f>
        <v>โฟมล้างหน้า แบบครีม สำหรับผู้หญิง บรรจุหลอดพลาสติก ขนาด 90 กรัม ตรา Pond รุ่น BRIGHT MIRACLE ULTIMATE CLARITY NIASORCINOL</v>
      </c>
      <c r="D315" s="5">
        <f>IFERROR(__xludf.DUMMYFUNCTION("""COMPUTED_VALUE"""),2.0)</f>
        <v>2</v>
      </c>
      <c r="E315" s="5">
        <f>IFERROR(__xludf.DUMMYFUNCTION("""COMPUTED_VALUE"""),2.0)</f>
        <v>2</v>
      </c>
      <c r="F315" s="5">
        <f>IFERROR(__xludf.DUMMYFUNCTION("""COMPUTED_VALUE"""),8.85193246637E12)</f>
        <v>8851932466370</v>
      </c>
      <c r="G315" s="5" t="str">
        <f>IFERROR(__xludf.DUMMYFUNCTION("""COMPUTED_VALUE"""),"พอนด์สโฟมล้างหน้าไบรท์มิราเคิล90g")</f>
        <v>พอนด์สโฟมล้างหน้าไบรท์มิราเคิล90g</v>
      </c>
      <c r="H315" s="7">
        <f>IFERROR(__xludf.DUMMYFUNCTION("""COMPUTED_VALUE"""),129.0)</f>
        <v>129</v>
      </c>
      <c r="I315" s="7">
        <f>IFERROR(__xludf.DUMMYFUNCTION("""COMPUTED_VALUE"""),65.0)</f>
        <v>65</v>
      </c>
      <c r="J315" s="5" t="str">
        <f>IFERROR(__xludf.DUMMYFUNCTION("""COMPUTED_VALUE"""),"PROMOTION MAIL (รอบ 25 ก.ย. - 24 ต.ค. 69)")</f>
        <v>PROMOTION MAIL (รอบ 25 ก.ย. - 24 ต.ค. 69)</v>
      </c>
    </row>
    <row r="316">
      <c r="A316" s="5">
        <f>IFERROR(__xludf.DUMMYFUNCTION("""COMPUTED_VALUE"""),4210022.0)</f>
        <v>4210022</v>
      </c>
      <c r="B316" s="6" t="str">
        <f>IFERROR(__xludf.DUMMYFUNCTION("""COMPUTED_VALUE"""),"4210022101010111")</f>
        <v>4210022101010111</v>
      </c>
      <c r="C316" s="5" t="str">
        <f>IFERROR(__xludf.DUMMYFUNCTION("""COMPUTED_VALUE"""),"โฟมล้างหน้า แบบครีม สำหรับผู้หญิง บรรจุหลอดพลาสติก ขนาด 100 กรัม ตรา Pond Bright Beauty serum facial foam")</f>
        <v>โฟมล้างหน้า แบบครีม สำหรับผู้หญิง บรรจุหลอดพลาสติก ขนาด 100 กรัม ตรา Pond Bright Beauty serum facial foam</v>
      </c>
      <c r="D316" s="5">
        <f>IFERROR(__xludf.DUMMYFUNCTION("""COMPUTED_VALUE"""),1.0)</f>
        <v>1</v>
      </c>
      <c r="E316" s="5">
        <f>IFERROR(__xludf.DUMMYFUNCTION("""COMPUTED_VALUE"""),3.0)</f>
        <v>3</v>
      </c>
      <c r="F316" s="5">
        <f>IFERROR(__xludf.DUMMYFUNCTION("""COMPUTED_VALUE"""),8.999999053031E12)</f>
        <v>8999999053031</v>
      </c>
      <c r="G316" s="5" t="str">
        <f>IFERROR(__xludf.DUMMYFUNCTION("""COMPUTED_VALUE"""),"PM_พอนด์สไบรท์บิวตี้โฟม100g")</f>
        <v>PM_พอนด์สไบรท์บิวตี้โฟม100g</v>
      </c>
      <c r="H316" s="7"/>
      <c r="I316" s="7"/>
      <c r="J316" s="5"/>
    </row>
    <row r="317">
      <c r="A317" s="5">
        <f>IFERROR(__xludf.DUMMYFUNCTION("""COMPUTED_VALUE"""),4210022.0)</f>
        <v>4210022</v>
      </c>
      <c r="B317" s="6" t="str">
        <f>IFERROR(__xludf.DUMMYFUNCTION("""COMPUTED_VALUE"""),"4210022111010308")</f>
        <v>4210022111010308</v>
      </c>
      <c r="C317" s="5" t="str">
        <f>IFERROR(__xludf.DUMMYFUNCTION("""COMPUTED_VALUE"""),"โฟมล้างหน้า แบบครีม สำหรับผู้ชาย บรรจุหลอดพลาสติก ขนาด 100 กรัม ตรา Garnier รุ่น Acno fight")</f>
        <v>โฟมล้างหน้า แบบครีม สำหรับผู้ชาย บรรจุหลอดพลาสติก ขนาด 100 กรัม ตรา Garnier รุ่น Acno fight</v>
      </c>
      <c r="D317" s="5">
        <f>IFERROR(__xludf.DUMMYFUNCTION("""COMPUTED_VALUE"""),1.0)</f>
        <v>1</v>
      </c>
      <c r="E317" s="5">
        <f>IFERROR(__xludf.DUMMYFUNCTION("""COMPUTED_VALUE"""),5.0)</f>
        <v>5</v>
      </c>
      <c r="F317" s="5"/>
      <c r="G317" s="5" t="str">
        <f>IFERROR(__xludf.DUMMYFUNCTION("""COMPUTED_VALUE"""),"การ์นิเย่เมนโฟมล้างหน้าแอคโน่ไฟท์100ml")</f>
        <v>การ์นิเย่เมนโฟมล้างหน้าแอคโน่ไฟท์100ml</v>
      </c>
      <c r="H317" s="7">
        <f>IFERROR(__xludf.DUMMYFUNCTION("""COMPUTED_VALUE"""),149.0)</f>
        <v>149</v>
      </c>
      <c r="I317" s="7"/>
      <c r="J317" s="5"/>
    </row>
    <row r="318">
      <c r="A318" s="5">
        <f>IFERROR(__xludf.DUMMYFUNCTION("""COMPUTED_VALUE"""),4210023.0)</f>
        <v>4210023</v>
      </c>
      <c r="B318" s="6" t="str">
        <f>IFERROR(__xludf.DUMMYFUNCTION("""COMPUTED_VALUE"""),"4210023211020180")</f>
        <v>4210023211020180</v>
      </c>
      <c r="C318" s="5" t="str">
        <f>IFERROR(__xludf.DUMMYFUNCTION("""COMPUTED_VALUE"""),"สำลีบริสุทธิ์ ชนิดแผ่น บรรจุห่อพลาสติก ขนาด 100 กรัม ตรา รถพยาบาล")</f>
        <v>สำลีบริสุทธิ์ ชนิดแผ่น บรรจุห่อพลาสติก ขนาด 100 กรัม ตรา รถพยาบาล</v>
      </c>
      <c r="D318" s="5">
        <f>IFERROR(__xludf.DUMMYFUNCTION("""COMPUTED_VALUE"""),2.0)</f>
        <v>2</v>
      </c>
      <c r="E318" s="5">
        <f>IFERROR(__xludf.DUMMYFUNCTION("""COMPUTED_VALUE"""),1.0)</f>
        <v>1</v>
      </c>
      <c r="F318" s="5">
        <f>IFERROR(__xludf.DUMMYFUNCTION("""COMPUTED_VALUE"""),8.850185000324E12)</f>
        <v>8850185000324</v>
      </c>
      <c r="G318" s="5" t="str">
        <f>IFERROR(__xludf.DUMMYFUNCTION("""COMPUTED_VALUE"""),"รถพยาบาลสำลีแผ่น100g")</f>
        <v>รถพยาบาลสำลีแผ่น100g</v>
      </c>
      <c r="H318" s="7">
        <f>IFERROR(__xludf.DUMMYFUNCTION("""COMPUTED_VALUE"""),58.0)</f>
        <v>58</v>
      </c>
      <c r="I318" s="7"/>
      <c r="J318" s="5"/>
    </row>
    <row r="319">
      <c r="A319" s="5">
        <f>IFERROR(__xludf.DUMMYFUNCTION("""COMPUTED_VALUE"""),4210023.0)</f>
        <v>4210023</v>
      </c>
      <c r="B319" s="6" t="str">
        <f>IFERROR(__xludf.DUMMYFUNCTION("""COMPUTED_VALUE"""),"4210023211030180")</f>
        <v>4210023211030180</v>
      </c>
      <c r="C319" s="5" t="str">
        <f>IFERROR(__xludf.DUMMYFUNCTION("""COMPUTED_VALUE"""),"สำลีบริสุทธิ์ ชนิดแผ่น บรรจุห่อพลาสติก ขนาด 50 กรัม ตรา รถพยาบาล - 100 แผ่น")</f>
        <v>สำลีบริสุทธิ์ ชนิดแผ่น บรรจุห่อพลาสติก ขนาด 50 กรัม ตรา รถพยาบาล - 100 แผ่น</v>
      </c>
      <c r="D319" s="5">
        <f>IFERROR(__xludf.DUMMYFUNCTION("""COMPUTED_VALUE"""),1.0)</f>
        <v>1</v>
      </c>
      <c r="E319" s="5">
        <f>IFERROR(__xludf.DUMMYFUNCTION("""COMPUTED_VALUE"""),2.0)</f>
        <v>2</v>
      </c>
      <c r="F319" s="5">
        <f>IFERROR(__xludf.DUMMYFUNCTION("""COMPUTED_VALUE"""),8.850185000331E12)</f>
        <v>8850185000331</v>
      </c>
      <c r="G319" s="5" t="str">
        <f>IFERROR(__xludf.DUMMYFUNCTION("""COMPUTED_VALUE"""),"รถพยาบาลสำลีแผ่น50g")</f>
        <v>รถพยาบาลสำลีแผ่น50g</v>
      </c>
      <c r="H319" s="7">
        <f>IFERROR(__xludf.DUMMYFUNCTION("""COMPUTED_VALUE"""),30.0)</f>
        <v>30</v>
      </c>
      <c r="I319" s="7">
        <f>IFERROR(__xludf.DUMMYFUNCTION("""COMPUTED_VALUE"""),27.0)</f>
        <v>27</v>
      </c>
      <c r="J319" s="5"/>
    </row>
    <row r="320">
      <c r="A320" s="5">
        <f>IFERROR(__xludf.DUMMYFUNCTION("""COMPUTED_VALUE"""),4210023.0)</f>
        <v>4210023</v>
      </c>
      <c r="B320" s="6" t="str">
        <f>IFERROR(__xludf.DUMMYFUNCTION("""COMPUTED_VALUE"""),"4210023211060101")</f>
        <v>4210023211060101</v>
      </c>
      <c r="C320" s="5" t="str">
        <f>IFERROR(__xludf.DUMMYFUNCTION("""COMPUTED_VALUE"""),"สำลีบริสุทธิ์ ชนิดแผ่น บรรจุห่อพลาสติก ขนาด 45 กรัม ตรา ดีนี่")</f>
        <v>สำลีบริสุทธิ์ ชนิดแผ่น บรรจุห่อพลาสติก ขนาด 45 กรัม ตรา ดีนี่</v>
      </c>
      <c r="D320" s="5">
        <f>IFERROR(__xludf.DUMMYFUNCTION("""COMPUTED_VALUE"""),1.0)</f>
        <v>1</v>
      </c>
      <c r="E320" s="5">
        <f>IFERROR(__xludf.DUMMYFUNCTION("""COMPUTED_VALUE"""),3.0)</f>
        <v>3</v>
      </c>
      <c r="F320" s="5">
        <f>IFERROR(__xludf.DUMMYFUNCTION("""COMPUTED_VALUE"""),8.851989060361E12)</f>
        <v>8851989060361</v>
      </c>
      <c r="G320" s="5" t="str">
        <f>IFERROR(__xludf.DUMMYFUNCTION("""COMPUTED_VALUE"""),"ดีนี่สำลีแผ่นไม่รีดข้าง45g")</f>
        <v>ดีนี่สำลีแผ่นไม่รีดข้าง45g</v>
      </c>
      <c r="H320" s="7">
        <f>IFERROR(__xludf.DUMMYFUNCTION("""COMPUTED_VALUE"""),32.0)</f>
        <v>32</v>
      </c>
      <c r="I320" s="7">
        <f>IFERROR(__xludf.DUMMYFUNCTION("""COMPUTED_VALUE"""),29.0)</f>
        <v>29</v>
      </c>
      <c r="J320" s="5" t="str">
        <f>IFERROR(__xludf.DUMMYFUNCTION("""COMPUTED_VALUE"""),"PROMOTION MAIL (รอบ 25 ก.ย. - 24 ต.ค. 69)")</f>
        <v>PROMOTION MAIL (รอบ 25 ก.ย. - 24 ต.ค. 69)</v>
      </c>
    </row>
    <row r="321">
      <c r="A321" s="5">
        <f>IFERROR(__xludf.DUMMYFUNCTION("""COMPUTED_VALUE"""),4210023.0)</f>
        <v>4210023</v>
      </c>
      <c r="B321" s="6" t="str">
        <f>IFERROR(__xludf.DUMMYFUNCTION("""COMPUTED_VALUE"""),"4210023111011180")</f>
        <v>4210023111011180</v>
      </c>
      <c r="C321" s="5" t="str">
        <f>IFERROR(__xludf.DUMMYFUNCTION("""COMPUTED_VALUE"""),"สำลีบริสุทธิ์ ชนิดก้อน บรรจุห่อพลาสติก ขนาด 40 กรัม ตรา ดูโอแคร์ (Duo Care)")</f>
        <v>สำลีบริสุทธิ์ ชนิดก้อน บรรจุห่อพลาสติก ขนาด 40 กรัม ตรา ดูโอแคร์ (Duo Care)</v>
      </c>
      <c r="D321" s="5">
        <f>IFERROR(__xludf.DUMMYFUNCTION("""COMPUTED_VALUE"""),1.0)</f>
        <v>1</v>
      </c>
      <c r="E321" s="5">
        <f>IFERROR(__xludf.DUMMYFUNCTION("""COMPUTED_VALUE"""),4.0)</f>
        <v>4</v>
      </c>
      <c r="F321" s="5">
        <f>IFERROR(__xludf.DUMMYFUNCTION("""COMPUTED_VALUE"""),8.859333701892E12)</f>
        <v>8859333701892</v>
      </c>
      <c r="G321" s="5" t="str">
        <f>IFERROR(__xludf.DUMMYFUNCTION("""COMPUTED_VALUE"""),"ดูโอแคร์สำลีก้อน40g")</f>
        <v>ดูโอแคร์สำลีก้อน40g</v>
      </c>
      <c r="H321" s="7">
        <f>IFERROR(__xludf.DUMMYFUNCTION("""COMPUTED_VALUE"""),20.0)</f>
        <v>20</v>
      </c>
      <c r="I321" s="7">
        <f>IFERROR(__xludf.DUMMYFUNCTION("""COMPUTED_VALUE"""),18.0)</f>
        <v>18</v>
      </c>
      <c r="J321" s="5" t="str">
        <f>IFERROR(__xludf.DUMMYFUNCTION("""COMPUTED_VALUE"""),"EDLP 15 AUG-14 NOV 2026")</f>
        <v>EDLP 15 AUG-14 NOV 2026</v>
      </c>
    </row>
    <row r="322">
      <c r="A322" s="5">
        <f>IFERROR(__xludf.DUMMYFUNCTION("""COMPUTED_VALUE"""),4210024.0)</f>
        <v>4210024</v>
      </c>
      <c r="B322" s="6" t="str">
        <f>IFERROR(__xludf.DUMMYFUNCTION("""COMPUTED_VALUE"""),"4210024212010280")</f>
        <v>4210024212010280</v>
      </c>
      <c r="C322" s="5" t="str">
        <f>IFERROR(__xludf.DUMMYFUNCTION("""COMPUTED_VALUE"""),"ผ้าอ้อมสำเร็จรูป สำหรับผู้ใหญ่ แบบเทปกาว จำนวน 24 ชิ้น ขนาด L ตรา Certainty")</f>
        <v>ผ้าอ้อมสำเร็จรูป สำหรับผู้ใหญ่ แบบเทปกาว จำนวน 24 ชิ้น ขนาด L ตรา Certainty</v>
      </c>
      <c r="D322" s="5">
        <f>IFERROR(__xludf.DUMMYFUNCTION("""COMPUTED_VALUE"""),3.0)</f>
        <v>3</v>
      </c>
      <c r="E322" s="5">
        <f>IFERROR(__xludf.DUMMYFUNCTION("""COMPUTED_VALUE"""),1.0)</f>
        <v>1</v>
      </c>
      <c r="F322" s="5">
        <f>IFERROR(__xludf.DUMMYFUNCTION("""COMPUTED_VALUE"""),8.850709230138E12)</f>
        <v>8850709230138</v>
      </c>
      <c r="G322" s="5" t="str">
        <f>IFERROR(__xludf.DUMMYFUNCTION("""COMPUTED_VALUE"""),"เซอร์เทนตี้ผ้าอ้อมเทปจัมโบ้L24pc")</f>
        <v>เซอร์เทนตี้ผ้าอ้อมเทปจัมโบ้L24pc</v>
      </c>
      <c r="H322" s="7"/>
      <c r="I322" s="7"/>
      <c r="J322" s="5"/>
    </row>
    <row r="323">
      <c r="A323" s="5">
        <f>IFERROR(__xludf.DUMMYFUNCTION("""COMPUTED_VALUE"""),4210024.0)</f>
        <v>4210024</v>
      </c>
      <c r="B323" s="6" t="str">
        <f>IFERROR(__xludf.DUMMYFUNCTION("""COMPUTED_VALUE"""),"4210024111110101")</f>
        <v>4210024111110101</v>
      </c>
      <c r="C323" s="5" t="str">
        <f>IFERROR(__xludf.DUMMYFUNCTION("""COMPUTED_VALUE"""),"ผ้าอ้อมสำเร็จรูป สำหรับเด็ก แบบกางกางสวม จำนวน 14 ชิ้น ขนาด L ตรา Mamy Poko รุ่น Happy Day and Night")</f>
        <v>ผ้าอ้อมสำเร็จรูป สำหรับเด็ก แบบกางกางสวม จำนวน 14 ชิ้น ขนาด L ตรา Mamy Poko รุ่น Happy Day and Night</v>
      </c>
      <c r="D323" s="5">
        <f>IFERROR(__xludf.DUMMYFUNCTION("""COMPUTED_VALUE"""),2.0)</f>
        <v>2</v>
      </c>
      <c r="E323" s="5">
        <f>IFERROR(__xludf.DUMMYFUNCTION("""COMPUTED_VALUE"""),2.0)</f>
        <v>2</v>
      </c>
      <c r="F323" s="5">
        <f>IFERROR(__xludf.DUMMYFUNCTION("""COMPUTED_VALUE"""),8.851111419265E12)</f>
        <v>8851111419265</v>
      </c>
      <c r="G323" s="5" t="str">
        <f>IFERROR(__xludf.DUMMYFUNCTION("""COMPUTED_VALUE"""),"มามี่โพโคผ้าอ้อมเด็กแฮปปี้แพ้นท์L14")</f>
        <v>มามี่โพโคผ้าอ้อมเด็กแฮปปี้แพ้นท์L14</v>
      </c>
      <c r="H323" s="7">
        <f>IFERROR(__xludf.DUMMYFUNCTION("""COMPUTED_VALUE"""),99.0)</f>
        <v>99</v>
      </c>
      <c r="I323" s="7">
        <f>IFERROR(__xludf.DUMMYFUNCTION("""COMPUTED_VALUE"""),85.0)</f>
        <v>85</v>
      </c>
      <c r="J323" s="5" t="str">
        <f>IFERROR(__xludf.DUMMYFUNCTION("""COMPUTED_VALUE"""),"PROMOTION MAIL (รอบ 25 ก.ย. - 24 ต.ค. 69)")</f>
        <v>PROMOTION MAIL (รอบ 25 ก.ย. - 24 ต.ค. 69)</v>
      </c>
    </row>
    <row r="324">
      <c r="A324" s="5">
        <f>IFERROR(__xludf.DUMMYFUNCTION("""COMPUTED_VALUE"""),4210024.0)</f>
        <v>4210024</v>
      </c>
      <c r="B324" s="6" t="str">
        <f>IFERROR(__xludf.DUMMYFUNCTION("""COMPUTED_VALUE"""),"4210024111120102")</f>
        <v>4210024111120102</v>
      </c>
      <c r="C324" s="5" t="str">
        <f>IFERROR(__xludf.DUMMYFUNCTION("""COMPUTED_VALUE"""),"ผ้าอ้อมสำเร็จรูป สำหรับเด็ก แบบกางกางสวม จำนวน 13 ชิ้น ขนาด XL ตรา Mamy Poko รุ่น Happy All Day Dry")</f>
        <v>ผ้าอ้อมสำเร็จรูป สำหรับเด็ก แบบกางกางสวม จำนวน 13 ชิ้น ขนาด XL ตรา Mamy Poko รุ่น Happy All Day Dry</v>
      </c>
      <c r="D324" s="5">
        <f>IFERROR(__xludf.DUMMYFUNCTION("""COMPUTED_VALUE"""),1.0)</f>
        <v>1</v>
      </c>
      <c r="E324" s="5">
        <f>IFERROR(__xludf.DUMMYFUNCTION("""COMPUTED_VALUE"""),5.0)</f>
        <v>5</v>
      </c>
      <c r="F324" s="5"/>
      <c r="G324" s="5" t="str">
        <f>IFERROR(__xludf.DUMMYFUNCTION("""COMPUTED_VALUE"""),"มามี่โพโคผ้าอ้อมเด็กแฮปปี้แพ้นท์XL13")</f>
        <v>มามี่โพโคผ้าอ้อมเด็กแฮปปี้แพ้นท์XL13</v>
      </c>
      <c r="H324" s="7">
        <f>IFERROR(__xludf.DUMMYFUNCTION("""COMPUTED_VALUE"""),99.0)</f>
        <v>99</v>
      </c>
      <c r="I324" s="7">
        <f>IFERROR(__xludf.DUMMYFUNCTION("""COMPUTED_VALUE"""),85.0)</f>
        <v>85</v>
      </c>
      <c r="J324" s="5" t="str">
        <f>IFERROR(__xludf.DUMMYFUNCTION("""COMPUTED_VALUE"""),"PROMOTION MAIL (รอบ 25 ก.ย. - 24 ต.ค. 69)")</f>
        <v>PROMOTION MAIL (รอบ 25 ก.ย. - 24 ต.ค. 69)</v>
      </c>
    </row>
    <row r="325">
      <c r="A325" s="5">
        <f>IFERROR(__xludf.DUMMYFUNCTION("""COMPUTED_VALUE"""),4210024.0)</f>
        <v>4210024</v>
      </c>
      <c r="B325" s="6" t="str">
        <f>IFERROR(__xludf.DUMMYFUNCTION("""COMPUTED_VALUE"""),"4210024111120201")</f>
        <v>4210024111120201</v>
      </c>
      <c r="C325" s="5" t="str">
        <f>IFERROR(__xludf.DUMMYFUNCTION("""COMPUTED_VALUE"""),"ผ้าอ้อมสำเร็จรูป สำหรับเด็ก แบบกางกางสวม จำนวน 13 ชิ้น ขนาด XL ตรา Babylove")</f>
        <v>ผ้าอ้อมสำเร็จรูป สำหรับเด็ก แบบกางกางสวม จำนวน 13 ชิ้น ขนาด XL ตรา Babylove</v>
      </c>
      <c r="D325" s="5">
        <f>IFERROR(__xludf.DUMMYFUNCTION("""COMPUTED_VALUE"""),1.0)</f>
        <v>1</v>
      </c>
      <c r="E325" s="5">
        <f>IFERROR(__xludf.DUMMYFUNCTION("""COMPUTED_VALUE"""),6.0)</f>
        <v>6</v>
      </c>
      <c r="F325" s="5"/>
      <c r="G325" s="5" t="str">
        <f>IFERROR(__xludf.DUMMYFUNCTION("""COMPUTED_VALUE"""),"เบบี้เลิฟผ้าอ้อมเด็กเดย์แพ้นท์พลัสXL13")</f>
        <v>เบบี้เลิฟผ้าอ้อมเด็กเดย์แพ้นท์พลัสXL13</v>
      </c>
      <c r="H325" s="7">
        <f>IFERROR(__xludf.DUMMYFUNCTION("""COMPUTED_VALUE"""),99.0)</f>
        <v>99</v>
      </c>
      <c r="I325" s="7">
        <f>IFERROR(__xludf.DUMMYFUNCTION("""COMPUTED_VALUE"""),85.0)</f>
        <v>85</v>
      </c>
      <c r="J325" s="5"/>
    </row>
    <row r="326">
      <c r="A326" s="5">
        <f>IFERROR(__xludf.DUMMYFUNCTION("""COMPUTED_VALUE"""),4210024.0)</f>
        <v>4210024</v>
      </c>
      <c r="B326" s="6" t="str">
        <f>IFERROR(__xludf.DUMMYFUNCTION("""COMPUTED_VALUE"""),"4210024112030280")</f>
        <v>4210024112030280</v>
      </c>
      <c r="C326" s="5" t="str">
        <f>IFERROR(__xludf.DUMMYFUNCTION("""COMPUTED_VALUE"""),"ผ้าอ้อมสำเร็จรูป สำหรับเด็ก แบบกางกางสวม จำนวน 17 ชิ้น ขนาด M ตรา Babylove")</f>
        <v>ผ้าอ้อมสำเร็จรูป สำหรับเด็ก แบบกางกางสวม จำนวน 17 ชิ้น ขนาด M ตรา Babylove</v>
      </c>
      <c r="D326" s="5">
        <f>IFERROR(__xludf.DUMMYFUNCTION("""COMPUTED_VALUE"""),1.0)</f>
        <v>1</v>
      </c>
      <c r="E326" s="5">
        <f>IFERROR(__xludf.DUMMYFUNCTION("""COMPUTED_VALUE"""),7.0)</f>
        <v>7</v>
      </c>
      <c r="F326" s="5"/>
      <c r="G326" s="5" t="str">
        <f>IFERROR(__xludf.DUMMYFUNCTION("""COMPUTED_VALUE"""),"เบบี้เลิฟผ้าอ้อมเด็กเดย์แพ้นท์พลัสM17")</f>
        <v>เบบี้เลิฟผ้าอ้อมเด็กเดย์แพ้นท์พลัสM17</v>
      </c>
      <c r="H326" s="7">
        <f>IFERROR(__xludf.DUMMYFUNCTION("""COMPUTED_VALUE"""),99.0)</f>
        <v>99</v>
      </c>
      <c r="I326" s="7">
        <f>IFERROR(__xludf.DUMMYFUNCTION("""COMPUTED_VALUE"""),85.0)</f>
        <v>85</v>
      </c>
      <c r="J326" s="5"/>
    </row>
    <row r="327">
      <c r="A327" s="5">
        <f>IFERROR(__xludf.DUMMYFUNCTION("""COMPUTED_VALUE"""),4210024.0)</f>
        <v>4210024</v>
      </c>
      <c r="B327" s="6" t="str">
        <f>IFERROR(__xludf.DUMMYFUNCTION("""COMPUTED_VALUE"""),"4210024221040180")</f>
        <v>4210024221040180</v>
      </c>
      <c r="C327" s="5" t="str">
        <f>IFERROR(__xludf.DUMMYFUNCTION("""COMPUTED_VALUE"""),"ผ้าอ้อมสำเร็จรูป สำหรับผู้ใหญ่ แบบกางเกงสวม จำนวน 20 ชิ้น ขนาด M ตรา Lifree")</f>
        <v>ผ้าอ้อมสำเร็จรูป สำหรับผู้ใหญ่ แบบกางเกงสวม จำนวน 20 ชิ้น ขนาด M ตรา Lifree</v>
      </c>
      <c r="D327" s="5">
        <f>IFERROR(__xludf.DUMMYFUNCTION("""COMPUTED_VALUE"""),1.0)</f>
        <v>1</v>
      </c>
      <c r="E327" s="5">
        <f>IFERROR(__xludf.DUMMYFUNCTION("""COMPUTED_VALUE"""),10.0)</f>
        <v>10</v>
      </c>
      <c r="F327" s="5">
        <f>IFERROR(__xludf.DUMMYFUNCTION("""COMPUTED_VALUE"""),8.851111601134E12)</f>
        <v>8851111601134</v>
      </c>
      <c r="G327" s="5" t="str">
        <f>IFERROR(__xludf.DUMMYFUNCTION("""COMPUTED_VALUE"""),"ไลฟ์รี่ผ้าอ้อมกางเกงซึมซับM20pc")</f>
        <v>ไลฟ์รี่ผ้าอ้อมกางเกงซึมซับM20pc</v>
      </c>
      <c r="H327" s="7"/>
      <c r="I327" s="7"/>
      <c r="J327" s="5"/>
    </row>
    <row r="328">
      <c r="A328" s="5">
        <f>IFERROR(__xludf.DUMMYFUNCTION("""COMPUTED_VALUE"""),4210024.0)</f>
        <v>4210024</v>
      </c>
      <c r="B328" s="6" t="str">
        <f>IFERROR(__xludf.DUMMYFUNCTION("""COMPUTED_VALUE"""),"4210024111110205")</f>
        <v>4210024111110205</v>
      </c>
      <c r="C328" s="5" t="str">
        <f>IFERROR(__xludf.DUMMYFUNCTION("""COMPUTED_VALUE"""),"ผ้าอ้อมสำเร็จรูป สำหรับเด็ก แบบกางกางสวม จำนวน 14 ชิ้น ขนาด L ตรา BabyLove รุ่น Day Night Pants (ห่อเขียวลายโดราเอมอน)")</f>
        <v>ผ้าอ้อมสำเร็จรูป สำหรับเด็ก แบบกางกางสวม จำนวน 14 ชิ้น ขนาด L ตรา BabyLove รุ่น Day Night Pants (ห่อเขียวลายโดราเอมอน)</v>
      </c>
      <c r="D328" s="5">
        <f>IFERROR(__xludf.DUMMYFUNCTION("""COMPUTED_VALUE"""),1.0)</f>
        <v>1</v>
      </c>
      <c r="E328" s="5">
        <f>IFERROR(__xludf.DUMMYFUNCTION("""COMPUTED_VALUE"""),13.0)</f>
        <v>13</v>
      </c>
      <c r="F328" s="5"/>
      <c r="G328" s="5" t="str">
        <f>IFERROR(__xludf.DUMMYFUNCTION("""COMPUTED_VALUE"""),"เบบี้เลิฟผ้าอ้อมเด็กเดย์แพ้นท์พลัสL14")</f>
        <v>เบบี้เลิฟผ้าอ้อมเด็กเดย์แพ้นท์พลัสL14</v>
      </c>
      <c r="H328" s="7">
        <f>IFERROR(__xludf.DUMMYFUNCTION("""COMPUTED_VALUE"""),99.0)</f>
        <v>99</v>
      </c>
      <c r="I328" s="7">
        <f>IFERROR(__xludf.DUMMYFUNCTION("""COMPUTED_VALUE"""),85.0)</f>
        <v>85</v>
      </c>
      <c r="J328" s="5" t="str">
        <f>IFERROR(__xludf.DUMMYFUNCTION("""COMPUTED_VALUE"""),"PROMOTION MAIL (รอบ 25 ก.ย. - 24 ต.ค. 69)")</f>
        <v>PROMOTION MAIL (รอบ 25 ก.ย. - 24 ต.ค. 69)</v>
      </c>
    </row>
    <row r="329">
      <c r="A329" s="5">
        <f>IFERROR(__xludf.DUMMYFUNCTION("""COMPUTED_VALUE"""),4210027.0)</f>
        <v>4210027</v>
      </c>
      <c r="B329" s="6" t="str">
        <f>IFERROR(__xludf.DUMMYFUNCTION("""COMPUTED_VALUE"""),"4210027111020101")</f>
        <v>4210027111020101</v>
      </c>
      <c r="C329" s="5" t="str">
        <f>IFERROR(__xludf.DUMMYFUNCTION("""COMPUTED_VALUE"""),"น้ำยาบ้วนปาก ชนิดน้ำ บรรจุขวดพลาสติก ขนาด 250 มล. ตรา Listerine กลิ่น Cool Mint")</f>
        <v>น้ำยาบ้วนปาก ชนิดน้ำ บรรจุขวดพลาสติก ขนาด 250 มล. ตรา Listerine กลิ่น Cool Mint</v>
      </c>
      <c r="D329" s="5">
        <f>IFERROR(__xludf.DUMMYFUNCTION("""COMPUTED_VALUE"""),5.0)</f>
        <v>5</v>
      </c>
      <c r="E329" s="5">
        <f>IFERROR(__xludf.DUMMYFUNCTION("""COMPUTED_VALUE"""),1.0)</f>
        <v>1</v>
      </c>
      <c r="F329" s="5"/>
      <c r="G329" s="5" t="str">
        <f>IFERROR(__xludf.DUMMYFUNCTION("""COMPUTED_VALUE"""),"ลิสเตอรีนน้ำยาบ้วนปากคูลมิ้นท์250ml")</f>
        <v>ลิสเตอรีนน้ำยาบ้วนปากคูลมิ้นท์250ml</v>
      </c>
      <c r="H329" s="7">
        <f>IFERROR(__xludf.DUMMYFUNCTION("""COMPUTED_VALUE"""),87.0)</f>
        <v>87</v>
      </c>
      <c r="I329" s="7"/>
      <c r="J329" s="5"/>
    </row>
    <row r="330">
      <c r="A330" s="5">
        <f>IFERROR(__xludf.DUMMYFUNCTION("""COMPUTED_VALUE"""),4210027.0)</f>
        <v>4210027</v>
      </c>
      <c r="B330" s="6" t="str">
        <f>IFERROR(__xludf.DUMMYFUNCTION("""COMPUTED_VALUE"""),"4210027111010216")</f>
        <v>4210027111010216</v>
      </c>
      <c r="C330" s="5" t="str">
        <f>IFERROR(__xludf.DUMMYFUNCTION("""COMPUTED_VALUE"""),"น้ำยาบ้วนปาก ชนิดน้ำ บรรจุขวดพลาสติก ขนาด 500 มล. ตรา Colgate Plax Peppermint Fresh")</f>
        <v>น้ำยาบ้วนปาก ชนิดน้ำ บรรจุขวดพลาสติก ขนาด 500 มล. ตรา Colgate Plax Peppermint Fresh</v>
      </c>
      <c r="D330" s="5">
        <f>IFERROR(__xludf.DUMMYFUNCTION("""COMPUTED_VALUE"""),1.0)</f>
        <v>1</v>
      </c>
      <c r="E330" s="5">
        <f>IFERROR(__xludf.DUMMYFUNCTION("""COMPUTED_VALUE"""),4.0)</f>
        <v>4</v>
      </c>
      <c r="F330" s="5"/>
      <c r="G330" s="5" t="str">
        <f>IFERROR(__xludf.DUMMYFUNCTION("""COMPUTED_VALUE"""),"คอลเกตน้ำยาบ้วนปากเปปเปอร์มิ้นท์500ml")</f>
        <v>คอลเกตน้ำยาบ้วนปากเปปเปอร์มิ้นท์500ml</v>
      </c>
      <c r="H330" s="7">
        <f>IFERROR(__xludf.DUMMYFUNCTION("""COMPUTED_VALUE"""),159.0)</f>
        <v>159</v>
      </c>
      <c r="I330" s="7"/>
      <c r="J330" s="5"/>
    </row>
    <row r="331">
      <c r="A331" s="5">
        <f>IFERROR(__xludf.DUMMYFUNCTION("""COMPUTED_VALUE"""),4210027.0)</f>
        <v>4210027</v>
      </c>
      <c r="B331" s="6" t="str">
        <f>IFERROR(__xludf.DUMMYFUNCTION("""COMPUTED_VALUE"""),"4210027111020503")</f>
        <v>4210027111020503</v>
      </c>
      <c r="C331" s="5" t="str">
        <f>IFERROR(__xludf.DUMMYFUNCTION("""COMPUTED_VALUE"""),"น้ำยาบ้วนปาก ชนิดน้ำ บรรจุขวดพลาสติก ขนาด 250 มล. ตรา SYSTEMA กลิ่น Japanese Cherry Blossom")</f>
        <v>น้ำยาบ้วนปาก ชนิดน้ำ บรรจุขวดพลาสติก ขนาด 250 มล. ตรา SYSTEMA กลิ่น Japanese Cherry Blossom</v>
      </c>
      <c r="D331" s="5">
        <f>IFERROR(__xludf.DUMMYFUNCTION("""COMPUTED_VALUE"""),1.0)</f>
        <v>1</v>
      </c>
      <c r="E331" s="5">
        <f>IFERROR(__xludf.DUMMYFUNCTION("""COMPUTED_VALUE"""),6.0)</f>
        <v>6</v>
      </c>
      <c r="F331" s="5">
        <f>IFERROR(__xludf.DUMMYFUNCTION("""COMPUTED_VALUE"""),8.850002020511E12)</f>
        <v>8850002020511</v>
      </c>
      <c r="G331" s="5" t="str">
        <f>IFERROR(__xludf.DUMMYFUNCTION("""COMPUTED_VALUE"""),"ซิสเท็มมาน้ำยาบ้วนปากเชอร์รี่250ml")</f>
        <v>ซิสเท็มมาน้ำยาบ้วนปากเชอร์รี่250ml</v>
      </c>
      <c r="H331" s="7">
        <f>IFERROR(__xludf.DUMMYFUNCTION("""COMPUTED_VALUE"""),65.0)</f>
        <v>65</v>
      </c>
      <c r="I331" s="7">
        <f>IFERROR(__xludf.DUMMYFUNCTION("""COMPUTED_VALUE"""),33.0)</f>
        <v>33</v>
      </c>
      <c r="J331" s="5" t="str">
        <f>IFERROR(__xludf.DUMMYFUNCTION("""COMPUTED_VALUE"""),"PROMOTION MAIL (รอบ 25 ก.ย. - 24 ต.ค. 69)")</f>
        <v>PROMOTION MAIL (รอบ 25 ก.ย. - 24 ต.ค. 69)</v>
      </c>
    </row>
    <row r="332">
      <c r="A332" s="5">
        <f>IFERROR(__xludf.DUMMYFUNCTION("""COMPUTED_VALUE"""),4210027.0)</f>
        <v>4210027</v>
      </c>
      <c r="B332" s="6" t="str">
        <f>IFERROR(__xludf.DUMMYFUNCTION("""COMPUTED_VALUE"""),"4210027111050101")</f>
        <v>4210027111050101</v>
      </c>
      <c r="C332" s="5" t="str">
        <f>IFERROR(__xludf.DUMMYFUNCTION("""COMPUTED_VALUE"""),"น้ำยาบ้วนปาก ชนิดน้ำ บรรจุขวดพลาสติก ขนาด 750 มล. ตรา Listerine กลิ่น Tartar Protection")</f>
        <v>น้ำยาบ้วนปาก ชนิดน้ำ บรรจุขวดพลาสติก ขนาด 750 มล. ตรา Listerine กลิ่น Tartar Protection</v>
      </c>
      <c r="D332" s="5">
        <f>IFERROR(__xludf.DUMMYFUNCTION("""COMPUTED_VALUE"""),1.0)</f>
        <v>1</v>
      </c>
      <c r="E332" s="5">
        <f>IFERROR(__xludf.DUMMYFUNCTION("""COMPUTED_VALUE"""),7.0)</f>
        <v>7</v>
      </c>
      <c r="F332" s="5">
        <f>IFERROR(__xludf.DUMMYFUNCTION("""COMPUTED_VALUE"""),8.850007811695E12)</f>
        <v>8850007811695</v>
      </c>
      <c r="G332" s="5" t="str">
        <f>IFERROR(__xludf.DUMMYFUNCTION("""COMPUTED_VALUE"""),"ลิสเตอรีนน้ำยาบ้วนปากทาร์ทาร์750ml")</f>
        <v>ลิสเตอรีนน้ำยาบ้วนปากทาร์ทาร์750ml</v>
      </c>
      <c r="H332" s="7"/>
      <c r="I332" s="7"/>
      <c r="J332" s="5"/>
    </row>
    <row r="333">
      <c r="A333" s="5">
        <f>IFERROR(__xludf.DUMMYFUNCTION("""COMPUTED_VALUE"""),4210027.0)</f>
        <v>4210027</v>
      </c>
      <c r="B333" s="6" t="str">
        <f>IFERROR(__xludf.DUMMYFUNCTION("""COMPUTED_VALUE"""),"4210027111020404")</f>
        <v>4210027111020404</v>
      </c>
      <c r="C333" s="5" t="str">
        <f>IFERROR(__xludf.DUMMYFUNCTION("""COMPUTED_VALUE"""),"น้ำยาบ้วนปาก ชนิดน้ำ บรรจุขวดพลาสติก ขนาด 250 มล. ตรา Colgate Plax กลิ่น Peppermint")</f>
        <v>น้ำยาบ้วนปาก ชนิดน้ำ บรรจุขวดพลาสติก ขนาด 250 มล. ตรา Colgate Plax กลิ่น Peppermint</v>
      </c>
      <c r="D333" s="5">
        <f>IFERROR(__xludf.DUMMYFUNCTION("""COMPUTED_VALUE"""),1.0)</f>
        <v>1</v>
      </c>
      <c r="E333" s="5">
        <f>IFERROR(__xludf.DUMMYFUNCTION("""COMPUTED_VALUE"""),8.0)</f>
        <v>8</v>
      </c>
      <c r="F333" s="5">
        <f>IFERROR(__xludf.DUMMYFUNCTION("""COMPUTED_VALUE"""),8.850006302132E12)</f>
        <v>8850006302132</v>
      </c>
      <c r="G333" s="5" t="str">
        <f>IFERROR(__xludf.DUMMYFUNCTION("""COMPUTED_VALUE"""),"คอลเกตน้ำยาบ้วนปากเปปเปอร์มิ้นท์250ml")</f>
        <v>คอลเกตน้ำยาบ้วนปากเปปเปอร์มิ้นท์250ml</v>
      </c>
      <c r="H333" s="7">
        <f>IFERROR(__xludf.DUMMYFUNCTION("""COMPUTED_VALUE"""),87.0)</f>
        <v>87</v>
      </c>
      <c r="I333" s="7">
        <f>IFERROR(__xludf.DUMMYFUNCTION("""COMPUTED_VALUE"""),59.0)</f>
        <v>59</v>
      </c>
      <c r="J333" s="5" t="str">
        <f>IFERROR(__xludf.DUMMYFUNCTION("""COMPUTED_VALUE"""),"PROMOTION MAIL (รอบ 25 ก.ย. - 24 ต.ค. 69)")</f>
        <v>PROMOTION MAIL (รอบ 25 ก.ย. - 24 ต.ค. 69)</v>
      </c>
    </row>
    <row r="334">
      <c r="A334" s="5">
        <f>IFERROR(__xludf.DUMMYFUNCTION("""COMPUTED_VALUE"""),4210028.0)</f>
        <v>4210028</v>
      </c>
      <c r="B334" s="6" t="str">
        <f>IFERROR(__xludf.DUMMYFUNCTION("""COMPUTED_VALUE"""),"4210028111050101")</f>
        <v>4210028111050101</v>
      </c>
      <c r="C334" s="5" t="str">
        <f>IFERROR(__xludf.DUMMYFUNCTION("""COMPUTED_VALUE"""),"ผลิตภัณฑ์เปลี่ยนสีผม ชนิดแชมพูปิดผมขาว คุณภาพดี บรรจุซอง ปริมาณ 30 กรัม ตรา OK Herbal คละสี")</f>
        <v>ผลิตภัณฑ์เปลี่ยนสีผม ชนิดแชมพูปิดผมขาว คุณภาพดี บรรจุซอง ปริมาณ 30 กรัม ตรา OK Herbal คละสี</v>
      </c>
      <c r="D334" s="5">
        <f>IFERROR(__xludf.DUMMYFUNCTION("""COMPUTED_VALUE"""),4.0)</f>
        <v>4</v>
      </c>
      <c r="E334" s="5">
        <f>IFERROR(__xludf.DUMMYFUNCTION("""COMPUTED_VALUE"""),1.0)</f>
        <v>1</v>
      </c>
      <c r="F334" s="5">
        <f>IFERROR(__xludf.DUMMYFUNCTION("""COMPUTED_VALUE"""),8.851826670005E12)</f>
        <v>8851826670005</v>
      </c>
      <c r="G334" s="5" t="str">
        <f>IFERROR(__xludf.DUMMYFUNCTION("""COMPUTED_VALUE"""),"โอเคเฮอเบิลแชมพูปิดผมขาวสีดำ30ml")</f>
        <v>โอเคเฮอเบิลแชมพูปิดผมขาวสีดำ30ml</v>
      </c>
      <c r="H334" s="7">
        <f>IFERROR(__xludf.DUMMYFUNCTION("""COMPUTED_VALUE"""),49.0)</f>
        <v>49</v>
      </c>
      <c r="I334" s="7"/>
      <c r="J334" s="5"/>
    </row>
    <row r="335">
      <c r="A335" s="5">
        <f>IFERROR(__xludf.DUMMYFUNCTION("""COMPUTED_VALUE"""),4210028.0)</f>
        <v>4210028</v>
      </c>
      <c r="B335" s="6" t="str">
        <f>IFERROR(__xludf.DUMMYFUNCTION("""COMPUTED_VALUE"""),"4210028215010101")</f>
        <v>4210028215010101</v>
      </c>
      <c r="C335" s="5" t="str">
        <f>IFERROR(__xludf.DUMMYFUNCTION("""COMPUTED_VALUE"""),"ผลิตภัณฑ์เปลี่ยนสีผม เปลี่ยนสีผมสีแฟชั่น บรรจุกล่อง ปริมาณ 50 มล. ตราโลแลน รุ่นพิกเซลคัลเลอร์")</f>
        <v>ผลิตภัณฑ์เปลี่ยนสีผม เปลี่ยนสีผมสีแฟชั่น บรรจุกล่อง ปริมาณ 50 มล. ตราโลแลน รุ่นพิกเซลคัลเลอร์</v>
      </c>
      <c r="D335" s="5">
        <f>IFERROR(__xludf.DUMMYFUNCTION("""COMPUTED_VALUE"""),3.0)</f>
        <v>3</v>
      </c>
      <c r="E335" s="5">
        <f>IFERROR(__xludf.DUMMYFUNCTION("""COMPUTED_VALUE"""),2.0)</f>
        <v>2</v>
      </c>
      <c r="F335" s="5">
        <f>IFERROR(__xludf.DUMMYFUNCTION("""COMPUTED_VALUE"""),8.850460990579E12)</f>
        <v>8850460990579</v>
      </c>
      <c r="G335" s="5" t="str">
        <f>IFERROR(__xludf.DUMMYFUNCTION("""COMPUTED_VALUE"""),"โลแลนพิกเซลครีมน้ำตาล(P05)50g")</f>
        <v>โลแลนพิกเซลครีมน้ำตาล(P05)50g</v>
      </c>
      <c r="H335" s="7">
        <f>IFERROR(__xludf.DUMMYFUNCTION("""COMPUTED_VALUE"""),79.0)</f>
        <v>79</v>
      </c>
      <c r="I335" s="7">
        <f>IFERROR(__xludf.DUMMYFUNCTION("""COMPUTED_VALUE"""),69.0)</f>
        <v>69</v>
      </c>
      <c r="J335" s="5" t="str">
        <f>IFERROR(__xludf.DUMMYFUNCTION("""COMPUTED_VALUE"""),"PROMOTION MAIL (รอบ 25 ก.ย. - 24 ต.ค. 69)")</f>
        <v>PROMOTION MAIL (รอบ 25 ก.ย. - 24 ต.ค. 69)</v>
      </c>
    </row>
    <row r="336">
      <c r="A336" s="5">
        <f>IFERROR(__xludf.DUMMYFUNCTION("""COMPUTED_VALUE"""),4210028.0)</f>
        <v>4210028</v>
      </c>
      <c r="B336" s="6" t="str">
        <f>IFERROR(__xludf.DUMMYFUNCTION("""COMPUTED_VALUE"""),"4210028211010101")</f>
        <v>4210028211010101</v>
      </c>
      <c r="C336" s="5" t="str">
        <f>IFERROR(__xludf.DUMMYFUNCTION("""COMPUTED_VALUE"""),"ผลิตภัณฑ์เปลี่ยนสีผม เปลี่ยนสีผมสีแฟชั่น คุณภาพดี บรรจุกล่อง ปริมาณ172 กรัม ตรา Loreal สีน้ำตาลแดงเหลือบมะฮอกกานี /รุ่นExcellence")</f>
        <v>ผลิตภัณฑ์เปลี่ยนสีผม เปลี่ยนสีผมสีแฟชั่น คุณภาพดี บรรจุกล่อง ปริมาณ172 กรัม ตรา Loreal สีน้ำตาลแดงเหลือบมะฮอกกานี /รุ่นExcellence</v>
      </c>
      <c r="D336" s="5">
        <f>IFERROR(__xludf.DUMMYFUNCTION("""COMPUTED_VALUE"""),1.0)</f>
        <v>1</v>
      </c>
      <c r="E336" s="5">
        <f>IFERROR(__xludf.DUMMYFUNCTION("""COMPUTED_VALUE"""),4.0)</f>
        <v>4</v>
      </c>
      <c r="F336" s="5"/>
      <c r="G336" s="5" t="str">
        <f>IFERROR(__xludf.DUMMYFUNCTION("""COMPUTED_VALUE"""),"PM_ลอรีอัลเอกซ์เลนซ์มะฮอกกานี(4.35)172ml")</f>
        <v>PM_ลอรีอัลเอกซ์เลนซ์มะฮอกกานี(4.35)172ml</v>
      </c>
      <c r="H336" s="7"/>
      <c r="I336" s="7"/>
      <c r="J336" s="5"/>
    </row>
    <row r="337">
      <c r="A337" s="5">
        <f>IFERROR(__xludf.DUMMYFUNCTION("""COMPUTED_VALUE"""),4210028.0)</f>
        <v>4210028</v>
      </c>
      <c r="B337" s="6" t="str">
        <f>IFERROR(__xludf.DUMMYFUNCTION("""COMPUTED_VALUE"""),"4210028111090101")</f>
        <v>4210028111090101</v>
      </c>
      <c r="C337" s="5" t="str">
        <f>IFERROR(__xludf.DUMMYFUNCTION("""COMPUTED_VALUE"""),"ผลิตภัณฑ์เปลี่ยนสีผม ชนิดแชมพูปิดผมขาว คุณภาพดี บรรจุกล่อง ปริมาณ 35 g ตราสลิน เฮิร์บ")</f>
        <v>ผลิตภัณฑ์เปลี่ยนสีผม ชนิดแชมพูปิดผมขาว คุณภาพดี บรรจุกล่อง ปริมาณ 35 g ตราสลิน เฮิร์บ</v>
      </c>
      <c r="D337" s="5">
        <f>IFERROR(__xludf.DUMMYFUNCTION("""COMPUTED_VALUE"""),1.0)</f>
        <v>1</v>
      </c>
      <c r="E337" s="5">
        <f>IFERROR(__xludf.DUMMYFUNCTION("""COMPUTED_VALUE"""),5.0)</f>
        <v>5</v>
      </c>
      <c r="F337" s="5">
        <f>IFERROR(__xludf.DUMMYFUNCTION("""COMPUTED_VALUE"""),8.859333707696E12)</f>
        <v>8859333707696</v>
      </c>
      <c r="G337" s="5" t="str">
        <f>IFERROR(__xludf.DUMMYFUNCTION("""COMPUTED_VALUE"""),"สลินเฮิร์บแชมพูสีผมดำ35ml")</f>
        <v>สลินเฮิร์บแชมพูสีผมดำ35ml</v>
      </c>
      <c r="H337" s="7">
        <f>IFERROR(__xludf.DUMMYFUNCTION("""COMPUTED_VALUE"""),49.0)</f>
        <v>49</v>
      </c>
      <c r="I337" s="7">
        <f>IFERROR(__xludf.DUMMYFUNCTION("""COMPUTED_VALUE"""),39.0)</f>
        <v>39</v>
      </c>
      <c r="J337" s="5"/>
    </row>
    <row r="338">
      <c r="A338" s="5">
        <f>IFERROR(__xludf.DUMMYFUNCTION("""COMPUTED_VALUE"""),4210029.0)</f>
        <v>4210029</v>
      </c>
      <c r="B338" s="6" t="str">
        <f>IFERROR(__xludf.DUMMYFUNCTION("""COMPUTED_VALUE"""),"4210029111250201")</f>
        <v>4210029111250201</v>
      </c>
      <c r="C338" s="5" t="str">
        <f>IFERROR(__xludf.DUMMYFUNCTION("""COMPUTED_VALUE"""),"ที่เขียนคิ้ว ชนิดดินสอ ปริมาณ 2 กรัม ตราเคทีดอลล์ รุ่นทู-โทน อายบราว เพนซิล")</f>
        <v>ที่เขียนคิ้ว ชนิดดินสอ ปริมาณ 2 กรัม ตราเคทีดอลล์ รุ่นทู-โทน อายบราว เพนซิล</v>
      </c>
      <c r="D338" s="5">
        <f>IFERROR(__xludf.DUMMYFUNCTION("""COMPUTED_VALUE"""),3.0)</f>
        <v>3</v>
      </c>
      <c r="E338" s="5">
        <f>IFERROR(__xludf.DUMMYFUNCTION("""COMPUTED_VALUE"""),1.0)</f>
        <v>1</v>
      </c>
      <c r="F338" s="5">
        <f>IFERROR(__xludf.DUMMYFUNCTION("""COMPUTED_VALUE"""),8.858842090664E12)</f>
        <v>8858842090664</v>
      </c>
      <c r="G338" s="5" t="str">
        <f>IFERROR(__xludf.DUMMYFUNCTION("""COMPUTED_VALUE"""),"เคที่ดอลล์ทูโทนอายบราวเพนซิลดาร์ก1+1g")</f>
        <v>เคที่ดอลล์ทูโทนอายบราวเพนซิลดาร์ก1+1g</v>
      </c>
      <c r="H338" s="7">
        <f>IFERROR(__xludf.DUMMYFUNCTION("""COMPUTED_VALUE"""),69.0)</f>
        <v>69</v>
      </c>
      <c r="I338" s="7"/>
      <c r="J338" s="5"/>
    </row>
    <row r="339">
      <c r="A339" s="5">
        <f>IFERROR(__xludf.DUMMYFUNCTION("""COMPUTED_VALUE"""),4210030.0)</f>
        <v>4210030</v>
      </c>
      <c r="B339" s="6" t="str">
        <f>IFERROR(__xludf.DUMMYFUNCTION("""COMPUTED_VALUE"""),"4210030211010601")</f>
        <v>4210030211010601</v>
      </c>
      <c r="C339" s="5" t="str">
        <f>IFERROR(__xludf.DUMMYFUNCTION("""COMPUTED_VALUE"""),"ผลิตภัณฑ์รองพื้น ชนิดลิควิด บรรจุขวด ปริมาณ 30 มล. ตรา LifeFord รุ่น super matte coverage")</f>
        <v>ผลิตภัณฑ์รองพื้น ชนิดลิควิด บรรจุขวด ปริมาณ 30 มล. ตรา LifeFord รุ่น super matte coverage</v>
      </c>
      <c r="D339" s="5">
        <f>IFERROR(__xludf.DUMMYFUNCTION("""COMPUTED_VALUE"""),2.0)</f>
        <v>2</v>
      </c>
      <c r="E339" s="5">
        <f>IFERROR(__xludf.DUMMYFUNCTION("""COMPUTED_VALUE"""),1.0)</f>
        <v>1</v>
      </c>
      <c r="F339" s="5">
        <f>IFERROR(__xludf.DUMMYFUNCTION("""COMPUTED_VALUE"""),8.858072600633E12)</f>
        <v>8858072600633</v>
      </c>
      <c r="G339" s="5" t="str">
        <f>IFERROR(__xludf.DUMMYFUNCTION("""COMPUTED_VALUE"""),"ไลฟฟอร์ดรองพื้นซูเปอร์แมทR03 30ML")</f>
        <v>ไลฟฟอร์ดรองพื้นซูเปอร์แมทR03 30ML</v>
      </c>
      <c r="H339" s="7">
        <f>IFERROR(__xludf.DUMMYFUNCTION("""COMPUTED_VALUE"""),229.0)</f>
        <v>229</v>
      </c>
      <c r="I339" s="7"/>
      <c r="J339" s="5"/>
    </row>
    <row r="340">
      <c r="A340" s="5">
        <f>IFERROR(__xludf.DUMMYFUNCTION("""COMPUTED_VALUE"""),4210031.0)</f>
        <v>4210031</v>
      </c>
      <c r="B340" s="6" t="str">
        <f>IFERROR(__xludf.DUMMYFUNCTION("""COMPUTED_VALUE"""),"4210031211040101")</f>
        <v>4210031211040101</v>
      </c>
      <c r="C340" s="5" t="str">
        <f>IFERROR(__xludf.DUMMYFUNCTION("""COMPUTED_VALUE"""),"กระดาษซับหน้ามัน ชนิดแผ่นฟิล์ม บรรจุ 35 แผ่น/ซอง ตราแก๊สบี้")</f>
        <v>กระดาษซับหน้ามัน ชนิดแผ่นฟิล์ม บรรจุ 35 แผ่น/ซอง ตราแก๊สบี้</v>
      </c>
      <c r="D340" s="5">
        <f>IFERROR(__xludf.DUMMYFUNCTION("""COMPUTED_VALUE"""),2.0)</f>
        <v>2</v>
      </c>
      <c r="E340" s="5">
        <f>IFERROR(__xludf.DUMMYFUNCTION("""COMPUTED_VALUE"""),1.0)</f>
        <v>1</v>
      </c>
      <c r="F340" s="5"/>
      <c r="G340" s="5" t="str">
        <f>IFERROR(__xludf.DUMMYFUNCTION("""COMPUTED_VALUE"""),"10_แกสบี้แผ่นฟิล์มซับมัน35แผ่น")</f>
        <v>10_แกสบี้แผ่นฟิล์มซับมัน35แผ่น</v>
      </c>
      <c r="H340" s="7">
        <f>IFERROR(__xludf.DUMMYFUNCTION("""COMPUTED_VALUE"""),65.0)</f>
        <v>65</v>
      </c>
      <c r="I340" s="7"/>
      <c r="J340" s="5"/>
    </row>
    <row r="341">
      <c r="A341" s="5">
        <f>IFERROR(__xludf.DUMMYFUNCTION("""COMPUTED_VALUE"""),4210031.0)</f>
        <v>4210031</v>
      </c>
      <c r="B341" s="6" t="str">
        <f>IFERROR(__xludf.DUMMYFUNCTION("""COMPUTED_VALUE"""),"4210031211030301")</f>
        <v>4210031211030301</v>
      </c>
      <c r="C341" s="5" t="str">
        <f>IFERROR(__xludf.DUMMYFUNCTION("""COMPUTED_VALUE"""),"กระดาษซับหน้ามัน ชนิดแผ่นฟิล์ม บรรจุ 15 แผ่น/ซอง ตรา Jabs")</f>
        <v>กระดาษซับหน้ามัน ชนิดแผ่นฟิล์ม บรรจุ 15 แผ่น/ซอง ตรา Jabs</v>
      </c>
      <c r="D341" s="5">
        <f>IFERROR(__xludf.DUMMYFUNCTION("""COMPUTED_VALUE"""),1.0)</f>
        <v>1</v>
      </c>
      <c r="E341" s="5">
        <f>IFERROR(__xludf.DUMMYFUNCTION("""COMPUTED_VALUE"""),3.0)</f>
        <v>3</v>
      </c>
      <c r="F341" s="5"/>
      <c r="G341" s="5" t="str">
        <f>IFERROR(__xludf.DUMMYFUNCTION("""COMPUTED_VALUE"""),"แจ๊บส์แผ่นฟิล์มซับมันกลิ่นแตงโม15แผ่น")</f>
        <v>แจ๊บส์แผ่นฟิล์มซับมันกลิ่นแตงโม15แผ่น</v>
      </c>
      <c r="H341" s="7">
        <f>IFERROR(__xludf.DUMMYFUNCTION("""COMPUTED_VALUE"""),35.0)</f>
        <v>35</v>
      </c>
      <c r="I341" s="7"/>
      <c r="J341" s="5"/>
    </row>
    <row r="342">
      <c r="A342" s="5">
        <f>IFERROR(__xludf.DUMMYFUNCTION("""COMPUTED_VALUE"""),4210031.0)</f>
        <v>4210031</v>
      </c>
      <c r="B342" s="6" t="str">
        <f>IFERROR(__xludf.DUMMYFUNCTION("""COMPUTED_VALUE"""),"4210031211060101")</f>
        <v>4210031211060101</v>
      </c>
      <c r="C342" s="5" t="str">
        <f>IFERROR(__xludf.DUMMYFUNCTION("""COMPUTED_VALUE"""),"กระดาษซับหน้ามัน ชนิดแผ่นฟิล์ม บรรจุ 23 แผ่น/ซอง ตรา Jabs")</f>
        <v>กระดาษซับหน้ามัน ชนิดแผ่นฟิล์ม บรรจุ 23 แผ่น/ซอง ตรา Jabs</v>
      </c>
      <c r="D342" s="5">
        <f>IFERROR(__xludf.DUMMYFUNCTION("""COMPUTED_VALUE"""),1.0)</f>
        <v>1</v>
      </c>
      <c r="E342" s="5">
        <f>IFERROR(__xludf.DUMMYFUNCTION("""COMPUTED_VALUE"""),5.0)</f>
        <v>5</v>
      </c>
      <c r="F342" s="5">
        <f>IFERROR(__xludf.DUMMYFUNCTION("""COMPUTED_VALUE"""),8.850114900442E12)</f>
        <v>8850114900442</v>
      </c>
      <c r="G342" s="5" t="str">
        <f>IFERROR(__xludf.DUMMYFUNCTION("""COMPUTED_VALUE"""),"แจ๊บส์แผ่นฟิล์มซับมันกลิ่นแอปเปิ้ล23แผ่น")</f>
        <v>แจ๊บส์แผ่นฟิล์มซับมันกลิ่นแอปเปิ้ล23แผ่น</v>
      </c>
      <c r="H342" s="7">
        <f>IFERROR(__xludf.DUMMYFUNCTION("""COMPUTED_VALUE"""),69.0)</f>
        <v>69</v>
      </c>
      <c r="I342" s="7">
        <f>IFERROR(__xludf.DUMMYFUNCTION("""COMPUTED_VALUE"""),59.0)</f>
        <v>59</v>
      </c>
      <c r="J342" s="5" t="str">
        <f>IFERROR(__xludf.DUMMYFUNCTION("""COMPUTED_VALUE"""),"PROMOTION MAIL (รอบ 25 ก.ย. - 24 ต.ค. 69)")</f>
        <v>PROMOTION MAIL (รอบ 25 ก.ย. - 24 ต.ค. 69)</v>
      </c>
    </row>
    <row r="343">
      <c r="A343" s="5">
        <f>IFERROR(__xludf.DUMMYFUNCTION("""COMPUTED_VALUE"""),4210032.0)</f>
        <v>4210032</v>
      </c>
      <c r="B343" s="6" t="str">
        <f>IFERROR(__xludf.DUMMYFUNCTION("""COMPUTED_VALUE"""),"4210032111010203")</f>
        <v>4210032111010203</v>
      </c>
      <c r="C343" s="5" t="str">
        <f>IFERROR(__xludf.DUMMYFUNCTION("""COMPUTED_VALUE"""),"ผลิตภัณฑ์ทำความสะอาดผิวหน้า (คลีนซิ่ง) ชนิดน้ำ \ บรรจุขวดพลาสติกฝาแบบฟลิปท็อป \ ขนาด 400 มล. \ ตรา GARNIER สูตร Micellar Cleansing Water All-in-1 (สีชมพู)")</f>
        <v>ผลิตภัณฑ์ทำความสะอาดผิวหน้า (คลีนซิ่ง) ชนิดน้ำ \ บรรจุขวดพลาสติกฝาแบบฟลิปท็อป \ ขนาด 400 มล. \ ตรา GARNIER สูตร Micellar Cleansing Water All-in-1 (สีชมพู)</v>
      </c>
      <c r="D343" s="5">
        <f>IFERROR(__xludf.DUMMYFUNCTION("""COMPUTED_VALUE"""),3.0)</f>
        <v>3</v>
      </c>
      <c r="E343" s="5">
        <f>IFERROR(__xludf.DUMMYFUNCTION("""COMPUTED_VALUE"""),1.0)</f>
        <v>1</v>
      </c>
      <c r="F343" s="5">
        <f>IFERROR(__xludf.DUMMYFUNCTION("""COMPUTED_VALUE"""),6.928820029589E12)</f>
        <v>6928820029589</v>
      </c>
      <c r="G343" s="5" t="str">
        <f>IFERROR(__xludf.DUMMYFUNCTION("""COMPUTED_VALUE"""),"การ์นิเย่ไมเซล่าชมพู400ml")</f>
        <v>การ์นิเย่ไมเซล่าชมพู400ml</v>
      </c>
      <c r="H343" s="7">
        <f>IFERROR(__xludf.DUMMYFUNCTION("""COMPUTED_VALUE"""),289.0)</f>
        <v>289</v>
      </c>
      <c r="I343" s="7"/>
      <c r="J343" s="5"/>
    </row>
    <row r="344">
      <c r="A344" s="5">
        <f>IFERROR(__xludf.DUMMYFUNCTION("""COMPUTED_VALUE"""),4210032.0)</f>
        <v>4210032</v>
      </c>
      <c r="B344" s="6" t="str">
        <f>IFERROR(__xludf.DUMMYFUNCTION("""COMPUTED_VALUE"""),"4210032111010101")</f>
        <v>4210032111010101</v>
      </c>
      <c r="C344" s="5" t="str">
        <f>IFERROR(__xludf.DUMMYFUNCTION("""COMPUTED_VALUE"""),"ผลิตภัณฑ์ทำความสะอาดผิวหน้า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เซรั่มแมคโนเลีย")</f>
        <v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v>
      </c>
      <c r="D344" s="5">
        <f>IFERROR(__xludf.DUMMYFUNCTION("""COMPUTED_VALUE"""),2.0)</f>
        <v>2</v>
      </c>
      <c r="E344" s="5">
        <f>IFERROR(__xludf.DUMMYFUNCTION("""COMPUTED_VALUE"""),2.0)</f>
        <v>2</v>
      </c>
      <c r="F344" s="5">
        <f>IFERROR(__xludf.DUMMYFUNCTION("""COMPUTED_VALUE"""),8.850029026923E12)</f>
        <v>8850029026923</v>
      </c>
      <c r="G344" s="5" t="str">
        <f>IFERROR(__xludf.DUMMYFUNCTION("""COMPUTED_VALUE"""),"นีเวียไมเซล่าแอคเน่แคร์400ml")</f>
        <v>นีเวียไมเซล่าแอคเน่แคร์400ml</v>
      </c>
      <c r="H344" s="7">
        <f>IFERROR(__xludf.DUMMYFUNCTION("""COMPUTED_VALUE"""),259.0)</f>
        <v>259</v>
      </c>
      <c r="I344" s="7"/>
      <c r="J344" s="5"/>
    </row>
    <row r="345">
      <c r="A345" s="5">
        <f>IFERROR(__xludf.DUMMYFUNCTION("""COMPUTED_VALUE"""),4210032.0)</f>
        <v>4210032</v>
      </c>
      <c r="B345" s="6" t="str">
        <f>IFERROR(__xludf.DUMMYFUNCTION("""COMPUTED_VALUE"""),"4210032111020101")</f>
        <v>4210032111020101</v>
      </c>
      <c r="C345" s="5" t="str">
        <f>IFERROR(__xludf.DUMMYFUNCTION("""COMPUTED_VALUE"""),"ผลิตภัณฑ์ทำความสะอาดผิวหน้า (คลีนซิ่ง) ชนิดน้ำ \ บรรจุขวดพลาสติกฝาแบบฟลิปท็อป \ ขนาด 125 มล. \ ตรา NIVEA สูตร Acne Care MicellAir OXYGEN BOOST 0% แอลกอฮอล์ เซรั่มแมคโนเลีย")</f>
        <v>ผลิตภัณฑ์ทำความสะอาดผิวหน้า (คลีนซิ่ง) ชนิดน้ำ \ บรรจุขวดพลาสติกฝาแบบฟลิปท็อป \ ขนาด 125 มล. \ ตรา NIVEA สูตร Acne Care MicellAir OXYGEN BOOST 0% แอลกอฮอล์ เซรั่มแมคโนเลีย</v>
      </c>
      <c r="D345" s="5">
        <f>IFERROR(__xludf.DUMMYFUNCTION("""COMPUTED_VALUE"""),2.0)</f>
        <v>2</v>
      </c>
      <c r="E345" s="5">
        <f>IFERROR(__xludf.DUMMYFUNCTION("""COMPUTED_VALUE"""),3.0)</f>
        <v>3</v>
      </c>
      <c r="F345" s="5">
        <f>IFERROR(__xludf.DUMMYFUNCTION("""COMPUTED_VALUE"""),8.85002901773E12)</f>
        <v>8850029017730</v>
      </c>
      <c r="G345" s="5" t="str">
        <f>IFERROR(__xludf.DUMMYFUNCTION("""COMPUTED_VALUE"""),"นีเวียไมเซล่าแอคเน่แคร์125ml")</f>
        <v>นีเวียไมเซล่าแอคเน่แคร์125ml</v>
      </c>
      <c r="H345" s="7">
        <f>IFERROR(__xludf.DUMMYFUNCTION("""COMPUTED_VALUE"""),109.0)</f>
        <v>109</v>
      </c>
      <c r="I345" s="7"/>
      <c r="J345" s="5"/>
    </row>
    <row r="346">
      <c r="A346" s="5">
        <f>IFERROR(__xludf.DUMMYFUNCTION("""COMPUTED_VALUE"""),4210032.0)</f>
        <v>4210032</v>
      </c>
      <c r="B346" s="6" t="str">
        <f>IFERROR(__xludf.DUMMYFUNCTION("""COMPUTED_VALUE"""),"4210032111010201")</f>
        <v>4210032111010201</v>
      </c>
      <c r="C346" s="5" t="str">
        <f>IFERROR(__xludf.DUMMYFUNCTION("""COMPUTED_VALUE"""),"ผลิตภัณฑ์ทำความสะอาดผิวหน้า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TYPE")</f>
        <v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v>
      </c>
      <c r="D346" s="5">
        <f>IFERROR(__xludf.DUMMYFUNCTION("""COMPUTED_VALUE"""),1.0)</f>
        <v>1</v>
      </c>
      <c r="E346" s="5">
        <f>IFERROR(__xludf.DUMMYFUNCTION("""COMPUTED_VALUE"""),4.0)</f>
        <v>4</v>
      </c>
      <c r="F346" s="5">
        <f>IFERROR(__xludf.DUMMYFUNCTION("""COMPUTED_VALUE"""),6.902395502005E12)</f>
        <v>6902395502005</v>
      </c>
      <c r="G346" s="5" t="str">
        <f>IFERROR(__xludf.DUMMYFUNCTION("""COMPUTED_VALUE"""),"PM_การ์นิเย่ไมเซล่าวอเตอร์ออยอินฟิว400m")</f>
        <v>PM_การ์นิเย่ไมเซล่าวอเตอร์ออยอินฟิว400m</v>
      </c>
      <c r="H346" s="7">
        <f>IFERROR(__xludf.DUMMYFUNCTION("""COMPUTED_VALUE"""),299.0)</f>
        <v>299</v>
      </c>
      <c r="I346" s="7"/>
      <c r="J346" s="5"/>
    </row>
    <row r="347">
      <c r="A347" s="5">
        <f>IFERROR(__xludf.DUMMYFUNCTION("""COMPUTED_VALUE"""),4210032.0)</f>
        <v>4210032</v>
      </c>
      <c r="B347" s="6" t="str">
        <f>IFERROR(__xludf.DUMMYFUNCTION("""COMPUTED_VALUE"""),"4210032111020201")</f>
        <v>4210032111020201</v>
      </c>
      <c r="C347" s="5" t="str">
        <f>IFERROR(__xludf.DUMMYFUNCTION("""COMPUTED_VALUE"""),"ผลิตภัณฑ์ทำความสะอาดผิวหน้า (คลีนซิ่ง) ชนิดน้ำ \ บรรจุขวดพลาสติกฝาแบบฟลิปท็อป \ ขนาด 125 มล. \ ตรา GARNIER SKIN NATURALS สูตร Micellar Cleansing Water in Oil All-in-1 FOR ALL SKIN TYPE")</f>
        <v>ผลิตภัณฑ์ทำความสะอาดผิวหน้า (คลีนซิ่ง) ชนิดน้ำ \ บรรจุขวดพลาสติกฝาแบบฟลิปท็อป \ ขนาด 125 มล. \ ตรา GARNIER SKIN NATURALS สูตร Micellar Cleansing Water in Oil All-in-1 FOR ALL SKIN TYPE</v>
      </c>
      <c r="D347" s="5">
        <f>IFERROR(__xludf.DUMMYFUNCTION("""COMPUTED_VALUE"""),1.0)</f>
        <v>1</v>
      </c>
      <c r="E347" s="5">
        <f>IFERROR(__xludf.DUMMYFUNCTION("""COMPUTED_VALUE"""),5.0)</f>
        <v>5</v>
      </c>
      <c r="F347" s="5">
        <f>IFERROR(__xludf.DUMMYFUNCTION("""COMPUTED_VALUE"""),6.902395501992E12)</f>
        <v>6902395501992</v>
      </c>
      <c r="G347" s="5" t="str">
        <f>IFERROR(__xludf.DUMMYFUNCTION("""COMPUTED_VALUE"""),"การ์นิเย่ไมเซล่าออยอินฟิว125ml")</f>
        <v>การ์นิเย่ไมเซล่าออยอินฟิว125ml</v>
      </c>
      <c r="H347" s="7">
        <f>IFERROR(__xludf.DUMMYFUNCTION("""COMPUTED_VALUE"""),129.0)</f>
        <v>129</v>
      </c>
      <c r="I347" s="7"/>
      <c r="J347" s="5"/>
    </row>
    <row r="348">
      <c r="A348" s="5">
        <f>IFERROR(__xludf.DUMMYFUNCTION("""COMPUTED_VALUE"""),6125001.0)</f>
        <v>6125001</v>
      </c>
      <c r="B348" s="6" t="str">
        <f>IFERROR(__xludf.DUMMYFUNCTION("""COMPUTED_VALUE"""),"6125001121010211")</f>
        <v>6125001121010211</v>
      </c>
      <c r="C348" s="5" t="str">
        <f>IFERROR(__xludf.DUMMYFUNCTION("""COMPUTED_VALUE"""),"อาหารสุนัข สำหรับสุนัข อายุตั้งแต่ 1 ปีขึ้นไปมีรสไก่ ตับ เนื้อวัว เนื้อไก่และตับ ตับและไข่ กระดูก ผักและแคลเซียม บรรจุถุง\ 1.3 ก.ก.\ ตรา PEDIGREE")</f>
        <v>อาหารสุนัข สำหรับสุนัข อายุตั้งแต่ 1 ปีขึ้นไปมีรสไก่ ตับ เนื้อวัว เนื้อไก่และตับ ตับและไข่ กระดูก ผักและแคลเซียม บรรจุถุง\ 1.3 ก.ก.\ ตรา PEDIGREE</v>
      </c>
      <c r="D348" s="5">
        <f>IFERROR(__xludf.DUMMYFUNCTION("""COMPUTED_VALUE"""),1.0)</f>
        <v>1</v>
      </c>
      <c r="E348" s="5">
        <f>IFERROR(__xludf.DUMMYFUNCTION("""COMPUTED_VALUE"""),1.0)</f>
        <v>1</v>
      </c>
      <c r="F348" s="5">
        <f>IFERROR(__xludf.DUMMYFUNCTION("""COMPUTED_VALUE"""),8.853301893596E12)</f>
        <v>8853301893596</v>
      </c>
      <c r="G348" s="5" t="str">
        <f>IFERROR(__xludf.DUMMYFUNCTION("""COMPUTED_VALUE"""),"PM_เพดดิกรีไก่ตับและผัก1.3kgสุนัขพันธุ์")</f>
        <v>PM_เพดดิกรีไก่ตับและผัก1.3kgสุนัขพันธุ์</v>
      </c>
      <c r="H348" s="7">
        <f>IFERROR(__xludf.DUMMYFUNCTION("""COMPUTED_VALUE"""),150.0)</f>
        <v>150</v>
      </c>
      <c r="I348" s="7"/>
      <c r="J348" s="5"/>
    </row>
    <row r="349">
      <c r="A349" s="5">
        <f>IFERROR(__xludf.DUMMYFUNCTION("""COMPUTED_VALUE"""),6125001.0)</f>
        <v>6125001</v>
      </c>
      <c r="B349" s="6" t="str">
        <f>IFERROR(__xludf.DUMMYFUNCTION("""COMPUTED_VALUE"""),"6125001131010203")</f>
        <v>6125001131010203</v>
      </c>
      <c r="C349" s="5" t="str">
        <f>IFERROR(__xludf.DUMMYFUNCTION("""COMPUTED_VALUE"""),"อาหารสุนัข สำหรับสุนัขอายุโตเต็มวัย\ 3.0 กก.\สูตรเนื้อวัวเเละผัก ตรา Pedigree")</f>
        <v>อาหารสุนัข สำหรับสุนัขอายุโตเต็มวัย\ 3.0 กก.\สูตรเนื้อวัวเเละผัก ตรา Pedigree</v>
      </c>
      <c r="D349" s="5">
        <f>IFERROR(__xludf.DUMMYFUNCTION("""COMPUTED_VALUE"""),1.0)</f>
        <v>1</v>
      </c>
      <c r="E349" s="5">
        <f>IFERROR(__xludf.DUMMYFUNCTION("""COMPUTED_VALUE"""),3.0)</f>
        <v>3</v>
      </c>
      <c r="F349" s="5"/>
      <c r="G349" s="5" t="str">
        <f>IFERROR(__xludf.DUMMYFUNCTION("""COMPUTED_VALUE"""),"เพดดิกรีสุนัขโตเนื้อวัวและผัก3kg")</f>
        <v>เพดดิกรีสุนัขโตเนื้อวัวและผัก3kg</v>
      </c>
      <c r="H349" s="7">
        <f>IFERROR(__xludf.DUMMYFUNCTION("""COMPUTED_VALUE"""),303.0)</f>
        <v>303</v>
      </c>
      <c r="I349" s="7">
        <f>IFERROR(__xludf.DUMMYFUNCTION("""COMPUTED_VALUE"""),289.0)</f>
        <v>289</v>
      </c>
      <c r="J349" s="5" t="str">
        <f>IFERROR(__xludf.DUMMYFUNCTION("""COMPUTED_VALUE"""),"PROMOTION MAIL (รอบ 25 ก.ย. - 24 ต.ค. 69)")</f>
        <v>PROMOTION MAIL (รอบ 25 ก.ย. - 24 ต.ค. 69)</v>
      </c>
    </row>
    <row r="350">
      <c r="A350" s="5">
        <f>IFERROR(__xludf.DUMMYFUNCTION("""COMPUTED_VALUE"""),6125001.0)</f>
        <v>6125001</v>
      </c>
      <c r="B350" s="6" t="str">
        <f>IFERROR(__xludf.DUMMYFUNCTION("""COMPUTED_VALUE"""),"6125001132010101")</f>
        <v>6125001132010101</v>
      </c>
      <c r="C350" s="5" t="str">
        <f>IFERROR(__xludf.DUMMYFUNCTION("""COMPUTED_VALUE"""),"อาหารสุนัข สำหรับสุนัขโตเต็มวัย รสเนื้ออบ \บรรจุถุง \1.5 ก.ก. \ตรา SmartHeart")</f>
        <v>อาหารสุนัข สำหรับสุนัขโตเต็มวัย รสเนื้ออบ \บรรจุถุง \1.5 ก.ก. \ตรา SmartHeart</v>
      </c>
      <c r="D350" s="5">
        <f>IFERROR(__xludf.DUMMYFUNCTION("""COMPUTED_VALUE"""),1.0)</f>
        <v>1</v>
      </c>
      <c r="E350" s="5">
        <f>IFERROR(__xludf.DUMMYFUNCTION("""COMPUTED_VALUE"""),4.0)</f>
        <v>4</v>
      </c>
      <c r="F350" s="5"/>
      <c r="G350" s="5" t="str">
        <f>IFERROR(__xludf.DUMMYFUNCTION("""COMPUTED_VALUE"""),"สมาร์ทฮาร์ทสุนัขโตเนื้ออบ1.5kg")</f>
        <v>สมาร์ทฮาร์ทสุนัขโตเนื้ออบ1.5kg</v>
      </c>
      <c r="H350" s="7">
        <f>IFERROR(__xludf.DUMMYFUNCTION("""COMPUTED_VALUE"""),187.0)</f>
        <v>187</v>
      </c>
      <c r="I350" s="7"/>
      <c r="J350" s="5"/>
    </row>
    <row r="351">
      <c r="A351" s="5">
        <f>IFERROR(__xludf.DUMMYFUNCTION("""COMPUTED_VALUE"""),6125001.0)</f>
        <v>6125001</v>
      </c>
      <c r="B351" s="6" t="str">
        <f>IFERROR(__xludf.DUMMYFUNCTION("""COMPUTED_VALUE"""),"6125001132010103")</f>
        <v>6125001132010103</v>
      </c>
      <c r="C351" s="5" t="str">
        <f>IFERROR(__xludf.DUMMYFUNCTION("""COMPUTED_VALUE"""),"อาหารสุนัข สำหรับสุนัขอายุ ตั้งแต่ 1 ปีขึ้นไป รสไก่ ตับ ไข่ \บรรจุถุง \3 ก.ก. \ตรา SmartHeart")</f>
        <v>อาหารสุนัข สำหรับสุนัขอายุ ตั้งแต่ 1 ปีขึ้นไป รสไก่ ตับ ไข่ \บรรจุถุง \3 ก.ก. \ตรา SmartHeart</v>
      </c>
      <c r="D351" s="5">
        <f>IFERROR(__xludf.DUMMYFUNCTION("""COMPUTED_VALUE"""),1.0)</f>
        <v>1</v>
      </c>
      <c r="E351" s="5">
        <f>IFERROR(__xludf.DUMMYFUNCTION("""COMPUTED_VALUE"""),5.0)</f>
        <v>5</v>
      </c>
      <c r="F351" s="5"/>
      <c r="G351" s="5" t="str">
        <f>IFERROR(__xludf.DUMMYFUNCTION("""COMPUTED_VALUE"""),"สมาร์ทฮาร์ทสุนัขโตไก่และตับ3kg")</f>
        <v>สมาร์ทฮาร์ทสุนัขโตไก่และตับ3kg</v>
      </c>
      <c r="H351" s="7">
        <f>IFERROR(__xludf.DUMMYFUNCTION("""COMPUTED_VALUE"""),305.0)</f>
        <v>305</v>
      </c>
      <c r="I351" s="7"/>
      <c r="J351" s="5"/>
    </row>
    <row r="352">
      <c r="A352" s="5">
        <f>IFERROR(__xludf.DUMMYFUNCTION("""COMPUTED_VALUE"""),6222003.0)</f>
        <v>6222003</v>
      </c>
      <c r="B352" s="6" t="str">
        <f>IFERROR(__xludf.DUMMYFUNCTION("""COMPUTED_VALUE"""),"6222003212010301")</f>
        <v>6222003212010301</v>
      </c>
      <c r="C352" s="5" t="str">
        <f>IFERROR(__xludf.DUMMYFUNCTION("""COMPUTED_VALUE"""),"ปากกาลูกลื่น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ควอนตั้ม")</f>
        <v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ควอนตั้ม</v>
      </c>
      <c r="D352" s="5">
        <f>IFERROR(__xludf.DUMMYFUNCTION("""COMPUTED_VALUE"""),1.0)</f>
        <v>1</v>
      </c>
      <c r="E352" s="5">
        <f>IFERROR(__xludf.DUMMYFUNCTION("""COMPUTED_VALUE"""),1.0)</f>
        <v>1</v>
      </c>
      <c r="F352" s="5">
        <f>IFERROR(__xludf.DUMMYFUNCTION("""COMPUTED_VALUE"""),8.851907292324E12)</f>
        <v>8851907292324</v>
      </c>
      <c r="G352" s="5" t="str">
        <f>IFERROR(__xludf.DUMMYFUNCTION("""COMPUTED_VALUE"""),"DHAควอนตั้มปากกาM5แม็กซ์0.5นง(1x3)")</f>
        <v>DHAควอนตั้มปากกาM5แม็กซ์0.5นง(1x3)</v>
      </c>
      <c r="H352" s="7">
        <f>IFERROR(__xludf.DUMMYFUNCTION("""COMPUTED_VALUE"""),20.0)</f>
        <v>20</v>
      </c>
      <c r="I352" s="7"/>
      <c r="J352" s="5"/>
    </row>
    <row r="353">
      <c r="A353" s="5">
        <f>IFERROR(__xludf.DUMMYFUNCTION("""COMPUTED_VALUE"""),7100001.0)</f>
        <v>7100001</v>
      </c>
      <c r="B353" s="6" t="str">
        <f>IFERROR(__xludf.DUMMYFUNCTION("""COMPUTED_VALUE"""),"7100001111010201")</f>
        <v>7100001111010201</v>
      </c>
      <c r="C353" s="5" t="str">
        <f>IFERROR(__xludf.DUMMYFUNCTION("""COMPUTED_VALUE"""),"บุหรี่ ในประเทศ ชนิดก้นกรอง \บรรจุซองละ 20 มวน \ตรา กรองทิพย์")</f>
        <v>บุหรี่ ในประเทศ ชนิดก้นกรอง \บรรจุซองละ 20 มวน \ตรา กรองทิพย์</v>
      </c>
      <c r="D353" s="5">
        <f>IFERROR(__xludf.DUMMYFUNCTION("""COMPUTED_VALUE"""),5.0)</f>
        <v>5</v>
      </c>
      <c r="E353" s="5">
        <f>IFERROR(__xludf.DUMMYFUNCTION("""COMPUTED_VALUE"""),1.0)</f>
        <v>1</v>
      </c>
      <c r="F353" s="5">
        <f>IFERROR(__xludf.DUMMYFUNCTION("""COMPUTED_VALUE"""),8.850170000155E12)</f>
        <v>8850170000155</v>
      </c>
      <c r="G353" s="5" t="str">
        <f>IFERROR(__xludf.DUMMYFUNCTION("""COMPUTED_VALUE"""),"กรองทิพย์บุหรี่90")</f>
        <v>กรองทิพย์บุหรี่90</v>
      </c>
      <c r="H353" s="7">
        <f>IFERROR(__xludf.DUMMYFUNCTION("""COMPUTED_VALUE"""),105.0)</f>
        <v>105</v>
      </c>
      <c r="I353" s="7"/>
      <c r="J353" s="5"/>
    </row>
    <row r="354">
      <c r="A354" s="5">
        <f>IFERROR(__xludf.DUMMYFUNCTION("""COMPUTED_VALUE"""),7100001.0)</f>
        <v>7100001</v>
      </c>
      <c r="B354" s="6" t="str">
        <f>IFERROR(__xludf.DUMMYFUNCTION("""COMPUTED_VALUE"""),"7100001111010301")</f>
        <v>7100001111010301</v>
      </c>
      <c r="C354" s="5" t="str">
        <f>IFERROR(__xludf.DUMMYFUNCTION("""COMPUTED_VALUE"""),"บุหรี่ ในประเทศ ชนิดก้นกรอง \บรรจุซองละ 20 มวน \ตรา สายฝน")</f>
        <v>บุหรี่ ในประเทศ ชนิดก้นกรอง \บรรจุซองละ 20 มวน \ตรา สายฝน</v>
      </c>
      <c r="D354" s="5">
        <f>IFERROR(__xludf.DUMMYFUNCTION("""COMPUTED_VALUE"""),5.0)</f>
        <v>5</v>
      </c>
      <c r="E354" s="5">
        <f>IFERROR(__xludf.DUMMYFUNCTION("""COMPUTED_VALUE"""),2.0)</f>
        <v>2</v>
      </c>
      <c r="F354" s="5">
        <f>IFERROR(__xludf.DUMMYFUNCTION("""COMPUTED_VALUE"""),8.850170000148E12)</f>
        <v>8850170000148</v>
      </c>
      <c r="G354" s="5" t="str">
        <f>IFERROR(__xludf.DUMMYFUNCTION("""COMPUTED_VALUE"""),"สายฝนบุหรี่90")</f>
        <v>สายฝนบุหรี่90</v>
      </c>
      <c r="H354" s="7">
        <f>IFERROR(__xludf.DUMMYFUNCTION("""COMPUTED_VALUE"""),105.0)</f>
        <v>105</v>
      </c>
      <c r="I354" s="7"/>
      <c r="J354" s="5"/>
    </row>
    <row r="355">
      <c r="A355" s="5">
        <f>IFERROR(__xludf.DUMMYFUNCTION("""COMPUTED_VALUE"""),7100001.0)</f>
        <v>7100001</v>
      </c>
      <c r="B355" s="6" t="str">
        <f>IFERROR(__xludf.DUMMYFUNCTION("""COMPUTED_VALUE"""),"7100001211010201")</f>
        <v>7100001211010201</v>
      </c>
      <c r="C355" s="5" t="str">
        <f>IFERROR(__xludf.DUMMYFUNCTION("""COMPUTED_VALUE"""),"บุหรี่ ต่างประเทศ \บรรจุซองละ 20 มวน \ตรา มาร์โบโล ชนิดซองอ่อนสีแดง")</f>
        <v>บุหรี่ ต่างประเทศ \บรรจุซองละ 20 มวน \ตรา มาร์โบโล ชนิดซองอ่อนสีแดง</v>
      </c>
      <c r="D355" s="5">
        <f>IFERROR(__xludf.DUMMYFUNCTION("""COMPUTED_VALUE"""),4.0)</f>
        <v>4</v>
      </c>
      <c r="E355" s="5">
        <f>IFERROR(__xludf.DUMMYFUNCTION("""COMPUTED_VALUE"""),3.0)</f>
        <v>3</v>
      </c>
      <c r="F355" s="5"/>
      <c r="G355" s="5" t="str">
        <f>IFERROR(__xludf.DUMMYFUNCTION("""COMPUTED_VALUE"""),"มาร์ลโบโรบุหรี่แดงซองแข็ง")</f>
        <v>มาร์ลโบโรบุหรี่แดงซองแข็ง</v>
      </c>
      <c r="H355" s="7">
        <f>IFERROR(__xludf.DUMMYFUNCTION("""COMPUTED_VALUE"""),150.0)</f>
        <v>150</v>
      </c>
      <c r="I355" s="7"/>
      <c r="J355" s="5"/>
    </row>
    <row r="356">
      <c r="A356" s="5">
        <f>IFERROR(__xludf.DUMMYFUNCTION("""COMPUTED_VALUE"""),7100001.0)</f>
        <v>7100001</v>
      </c>
      <c r="B356" s="6" t="str">
        <f>IFERROR(__xludf.DUMMYFUNCTION("""COMPUTED_VALUE"""),"7100001211010101")</f>
        <v>7100001211010101</v>
      </c>
      <c r="C356" s="5" t="str">
        <f>IFERROR(__xludf.DUMMYFUNCTION("""COMPUTED_VALUE"""),"บุหรี่ ต่างประเทศ \บรรจุซองละ 20 มวน สีแดง \ตรา L&amp;M")</f>
        <v>บุหรี่ ต่างประเทศ \บรรจุซองละ 20 มวน สีแดง \ตรา L&amp;M</v>
      </c>
      <c r="D356" s="5">
        <f>IFERROR(__xludf.DUMMYFUNCTION("""COMPUTED_VALUE"""),1.0)</f>
        <v>1</v>
      </c>
      <c r="E356" s="5">
        <f>IFERROR(__xludf.DUMMYFUNCTION("""COMPUTED_VALUE"""),4.0)</f>
        <v>4</v>
      </c>
      <c r="F356" s="5"/>
      <c r="G356" s="5" t="str">
        <f>IFERROR(__xludf.DUMMYFUNCTION("""COMPUTED_VALUE"""),"แอล&amp;เอ็มบุหรี่แดงซองอ่อน")</f>
        <v>แอล&amp;เอ็มบุหรี่แดงซองอ่อน</v>
      </c>
      <c r="H356" s="7">
        <f>IFERROR(__xludf.DUMMYFUNCTION("""COMPUTED_VALUE"""),110.0)</f>
        <v>110</v>
      </c>
      <c r="I356" s="7"/>
      <c r="J356" s="5"/>
    </row>
    <row r="357">
      <c r="A357" s="5">
        <f>IFERROR(__xludf.DUMMYFUNCTION("""COMPUTED_VALUE"""),7100001.0)</f>
        <v>7100001</v>
      </c>
      <c r="B357" s="6" t="str">
        <f>IFERROR(__xludf.DUMMYFUNCTION("""COMPUTED_VALUE"""),"7100001111010601")</f>
        <v>7100001111010601</v>
      </c>
      <c r="C357" s="5" t="str">
        <f>IFERROR(__xludf.DUMMYFUNCTION("""COMPUTED_VALUE"""),"บุหรี่ ในประเทศ ชนิดก้นกรอง \บรรจุซองละ 20 มวน \ตรา SMS")</f>
        <v>บุหรี่ ในประเทศ ชนิดก้นกรอง \บรรจุซองละ 20 มวน \ตรา SMS</v>
      </c>
      <c r="D357" s="5">
        <f>IFERROR(__xludf.DUMMYFUNCTION("""COMPUTED_VALUE"""),1.0)</f>
        <v>1</v>
      </c>
      <c r="E357" s="5">
        <f>IFERROR(__xludf.DUMMYFUNCTION("""COMPUTED_VALUE"""),5.0)</f>
        <v>5</v>
      </c>
      <c r="F357" s="5">
        <f>IFERROR(__xludf.DUMMYFUNCTION("""COMPUTED_VALUE"""),8.850170000797E12)</f>
        <v>8850170000797</v>
      </c>
      <c r="G357" s="5" t="str">
        <f>IFERROR(__xludf.DUMMYFUNCTION("""COMPUTED_VALUE"""),"เอสเอ็มเอสบุหรี่แดง")</f>
        <v>เอสเอ็มเอสบุหรี่แดง</v>
      </c>
      <c r="H357" s="7">
        <f>IFERROR(__xludf.DUMMYFUNCTION("""COMPUTED_VALUE"""),70.0)</f>
        <v>70</v>
      </c>
      <c r="I357" s="7"/>
      <c r="J357" s="5"/>
    </row>
    <row r="358">
      <c r="A358" s="5">
        <f>IFERROR(__xludf.DUMMYFUNCTION("""COMPUTED_VALUE"""),7100001.0)</f>
        <v>7100001</v>
      </c>
      <c r="B358" s="6" t="str">
        <f>IFERROR(__xludf.DUMMYFUNCTION("""COMPUTED_VALUE"""),"7100001211010102")</f>
        <v>7100001211010102</v>
      </c>
      <c r="C358" s="5" t="str">
        <f>IFERROR(__xludf.DUMMYFUNCTION("""COMPUTED_VALUE"""),"บุหรี่ ต่างประเทศ \บรรจุซองละ 20 มวน สีแดง \ตรา L&amp;M เล็ก 7.1 mm")</f>
        <v>บุหรี่ ต่างประเทศ \บรรจุซองละ 20 มวน สีแดง \ตรา L&amp;M เล็ก 7.1 mm</v>
      </c>
      <c r="D358" s="5">
        <f>IFERROR(__xludf.DUMMYFUNCTION("""COMPUTED_VALUE"""),1.0)</f>
        <v>1</v>
      </c>
      <c r="E358" s="5">
        <f>IFERROR(__xludf.DUMMYFUNCTION("""COMPUTED_VALUE"""),6.0)</f>
        <v>6</v>
      </c>
      <c r="F358" s="5">
        <f>IFERROR(__xludf.DUMMYFUNCTION("""COMPUTED_VALUE"""),9.550973E7)</f>
        <v>95509730</v>
      </c>
      <c r="G358" s="5" t="str">
        <f>IFERROR(__xludf.DUMMYFUNCTION("""COMPUTED_VALUE"""),"แอล&amp;เอ็ม แดง 7.1 ซองอ่อน")</f>
        <v>แอล&amp;เอ็ม แดง 7.1 ซองอ่อน</v>
      </c>
      <c r="H358" s="7">
        <f>IFERROR(__xludf.DUMMYFUNCTION("""COMPUTED_VALUE"""),72.0)</f>
        <v>72</v>
      </c>
      <c r="I358" s="7"/>
      <c r="J358" s="5"/>
    </row>
    <row r="359">
      <c r="A359" s="5">
        <f>IFERROR(__xludf.DUMMYFUNCTION("""COMPUTED_VALUE"""),7210001.0)</f>
        <v>7210001</v>
      </c>
      <c r="B359" s="6" t="str">
        <f>IFERROR(__xludf.DUMMYFUNCTION("""COMPUTED_VALUE"""),"7210001111050201")</f>
        <v>7210001111050201</v>
      </c>
      <c r="C359" s="5" t="str">
        <f>IFERROR(__xludf.DUMMYFUNCTION("""COMPUTED_VALUE"""),"เบียร์ ในประเทศ \บรรจุขวดแก้วกลม 620 ซีซี ขวดสีชา \ตรา สิงห์")</f>
        <v>เบียร์ ในประเทศ \บรรจุขวดแก้วกลม 620 ซีซี ขวดสีชา \ตรา สิงห์</v>
      </c>
      <c r="D359" s="5">
        <f>IFERROR(__xludf.DUMMYFUNCTION("""COMPUTED_VALUE"""),6.0)</f>
        <v>6</v>
      </c>
      <c r="E359" s="5">
        <f>IFERROR(__xludf.DUMMYFUNCTION("""COMPUTED_VALUE"""),1.0)</f>
        <v>1</v>
      </c>
      <c r="F359" s="5">
        <f>IFERROR(__xludf.DUMMYFUNCTION("""COMPUTED_VALUE"""),8.850999111001E12)</f>
        <v>8850999111001</v>
      </c>
      <c r="G359" s="5" t="str">
        <f>IFERROR(__xludf.DUMMYFUNCTION("""COMPUTED_VALUE"""),"สิงห์เบียร์ขวด620ml")</f>
        <v>สิงห์เบียร์ขวด620ml</v>
      </c>
      <c r="H359" s="7">
        <f>IFERROR(__xludf.DUMMYFUNCTION("""COMPUTED_VALUE"""),64.0)</f>
        <v>64</v>
      </c>
      <c r="I359" s="7"/>
      <c r="J359" s="5"/>
    </row>
    <row r="360">
      <c r="A360" s="5">
        <f>IFERROR(__xludf.DUMMYFUNCTION("""COMPUTED_VALUE"""),7210001.0)</f>
        <v>7210001</v>
      </c>
      <c r="B360" s="6" t="str">
        <f>IFERROR(__xludf.DUMMYFUNCTION("""COMPUTED_VALUE"""),"7210001211020201")</f>
        <v>7210001211020201</v>
      </c>
      <c r="C360" s="5" t="str">
        <f>IFERROR(__xludf.DUMMYFUNCTION("""COMPUTED_VALUE"""),"เบียร์ ต่างประเทศ \บรรจุขวดแก้วกลม 620 ซีซี ขวดเขียว \ตรา Heineken")</f>
        <v>เบียร์ ต่างประเทศ \บรรจุขวดแก้วกลม 620 ซีซี ขวดเขียว \ตรา Heineken</v>
      </c>
      <c r="D360" s="5">
        <f>IFERROR(__xludf.DUMMYFUNCTION("""COMPUTED_VALUE"""),5.0)</f>
        <v>5</v>
      </c>
      <c r="E360" s="5">
        <f>IFERROR(__xludf.DUMMYFUNCTION("""COMPUTED_VALUE"""),2.0)</f>
        <v>2</v>
      </c>
      <c r="F360" s="5">
        <f>IFERROR(__xludf.DUMMYFUNCTION("""COMPUTED_VALUE"""),8.850571920649E12)</f>
        <v>8850571920649</v>
      </c>
      <c r="G360" s="5" t="str">
        <f>IFERROR(__xludf.DUMMYFUNCTION("""COMPUTED_VALUE"""),"ไฮเนเก้นเบียร์ขวด620ml")</f>
        <v>ไฮเนเก้นเบียร์ขวด620ml</v>
      </c>
      <c r="H360" s="7">
        <f>IFERROR(__xludf.DUMMYFUNCTION("""COMPUTED_VALUE"""),73.0)</f>
        <v>73</v>
      </c>
      <c r="I360" s="7"/>
      <c r="J360" s="5"/>
    </row>
    <row r="361">
      <c r="A361" s="5">
        <f>IFERROR(__xludf.DUMMYFUNCTION("""COMPUTED_VALUE"""),7210001.0)</f>
        <v>7210001</v>
      </c>
      <c r="B361" s="6" t="str">
        <f>IFERROR(__xludf.DUMMYFUNCTION("""COMPUTED_VALUE"""),"7210001111070101")</f>
        <v>7210001111070101</v>
      </c>
      <c r="C361" s="5" t="str">
        <f>IFERROR(__xludf.DUMMYFUNCTION("""COMPUTED_VALUE"""),"เบียร์ในประเทศ \บรรจุขวดแก้วกลม 620 ซีซี ขวด สีชา ตรา ลีโอ")</f>
        <v>เบียร์ในประเทศ \บรรจุขวดแก้วกลม 620 ซีซี ขวด สีชา ตรา ลีโอ</v>
      </c>
      <c r="D361" s="5">
        <f>IFERROR(__xludf.DUMMYFUNCTION("""COMPUTED_VALUE"""),1.0)</f>
        <v>1</v>
      </c>
      <c r="E361" s="5">
        <f>IFERROR(__xludf.DUMMYFUNCTION("""COMPUTED_VALUE"""),3.0)</f>
        <v>3</v>
      </c>
      <c r="F361" s="5">
        <f>IFERROR(__xludf.DUMMYFUNCTION("""COMPUTED_VALUE"""),8.850999141008E12)</f>
        <v>8850999141008</v>
      </c>
      <c r="G361" s="5" t="str">
        <f>IFERROR(__xludf.DUMMYFUNCTION("""COMPUTED_VALUE"""),"ลีโอเบียร์ขวด 620ml")</f>
        <v>ลีโอเบียร์ขวด 620ml</v>
      </c>
      <c r="H361" s="7">
        <f>IFERROR(__xludf.DUMMYFUNCTION("""COMPUTED_VALUE"""),59.0)</f>
        <v>59</v>
      </c>
      <c r="I361" s="7"/>
      <c r="J361" s="5"/>
    </row>
    <row r="362">
      <c r="A362" s="5">
        <f>IFERROR(__xludf.DUMMYFUNCTION("""COMPUTED_VALUE"""),7220001.0)</f>
        <v>7220001</v>
      </c>
      <c r="B362" s="6" t="str">
        <f>IFERROR(__xludf.DUMMYFUNCTION("""COMPUTED_VALUE"""),"7220001311030101")</f>
        <v>7220001311030101</v>
      </c>
      <c r="C362" s="5" t="str">
        <f>IFERROR(__xludf.DUMMYFUNCTION("""COMPUTED_VALUE"""),"ไวน์ขาว ผลิตภายในประเทศไทย \บรรจุขวด 275 มล. \ตรา SPY WINE COOLER")</f>
        <v>ไวน์ขาว ผลิตภายในประเทศไทย \บรรจุขวด 275 มล. \ตรา SPY WINE COOLER</v>
      </c>
      <c r="D362" s="5">
        <f>IFERROR(__xludf.DUMMYFUNCTION("""COMPUTED_VALUE"""),2.0)</f>
        <v>2</v>
      </c>
      <c r="E362" s="5">
        <f>IFERROR(__xludf.DUMMYFUNCTION("""COMPUTED_VALUE"""),1.0)</f>
        <v>1</v>
      </c>
      <c r="F362" s="5"/>
      <c r="G362" s="5" t="str">
        <f>IFERROR(__xludf.DUMMYFUNCTION("""COMPUTED_VALUE"""),"สปายไวน์คูลเลอร์ไวท์275ml")</f>
        <v>สปายไวน์คูลเลอร์ไวท์275ml</v>
      </c>
      <c r="H362" s="7">
        <f>IFERROR(__xludf.DUMMYFUNCTION("""COMPUTED_VALUE"""),34.0)</f>
        <v>34</v>
      </c>
      <c r="I362" s="7"/>
      <c r="J362" s="5"/>
    </row>
    <row r="363">
      <c r="A363" s="5">
        <f>IFERROR(__xludf.DUMMYFUNCTION("""COMPUTED_VALUE"""),7220001.0)</f>
        <v>7220001</v>
      </c>
      <c r="B363" s="6" t="str">
        <f>IFERROR(__xludf.DUMMYFUNCTION("""COMPUTED_VALUE"""),"7220001211020102")</f>
        <v>7220001211020102</v>
      </c>
      <c r="C363" s="5" t="str">
        <f>IFERROR(__xludf.DUMMYFUNCTION("""COMPUTED_VALUE"""),"ไวน์ ผลิตภายในประเทศไทย \บรรจุขวด 275 มล.\ตรา SPY WINE COOLER รุ่น RED")</f>
        <v>ไวน์ ผลิตภายในประเทศไทย \บรรจุขวด 275 มล.\ตรา SPY WINE COOLER รุ่น RED</v>
      </c>
      <c r="D363" s="5">
        <f>IFERROR(__xludf.DUMMYFUNCTION("""COMPUTED_VALUE"""),2.0)</f>
        <v>2</v>
      </c>
      <c r="E363" s="5">
        <f>IFERROR(__xludf.DUMMYFUNCTION("""COMPUTED_VALUE"""),2.0)</f>
        <v>2</v>
      </c>
      <c r="F363" s="5"/>
      <c r="G363" s="5" t="str">
        <f>IFERROR(__xludf.DUMMYFUNCTION("""COMPUTED_VALUE"""),"สปายไวน์คูลเลอร์เรด275ml")</f>
        <v>สปายไวน์คูลเลอร์เรด275ml</v>
      </c>
      <c r="H363" s="7">
        <f>IFERROR(__xludf.DUMMYFUNCTION("""COMPUTED_VALUE"""),34.0)</f>
        <v>34</v>
      </c>
      <c r="I363" s="7"/>
      <c r="J363" s="5"/>
    </row>
    <row r="364">
      <c r="A364" s="5">
        <f>IFERROR(__xludf.DUMMYFUNCTION("""COMPUTED_VALUE"""),7220001.0)</f>
        <v>7220001</v>
      </c>
      <c r="B364" s="6" t="str">
        <f>IFERROR(__xludf.DUMMYFUNCTION("""COMPUTED_VALUE"""),"7220001311050101")</f>
        <v>7220001311050101</v>
      </c>
      <c r="C364" s="5" t="str">
        <f>IFERROR(__xludf.DUMMYFUNCTION("""COMPUTED_VALUE"""),"ไวน์ ROSE ผลิตภายในประเทศไทย \บรรจุขวด 275 มล. \ตรา SPY CLASSIC")</f>
        <v>ไวน์ ROSE ผลิตภายในประเทศไทย \บรรจุขวด 275 มล. \ตรา SPY CLASSIC</v>
      </c>
      <c r="D364" s="5">
        <f>IFERROR(__xludf.DUMMYFUNCTION("""COMPUTED_VALUE"""),1.0)</f>
        <v>1</v>
      </c>
      <c r="E364" s="5">
        <f>IFERROR(__xludf.DUMMYFUNCTION("""COMPUTED_VALUE"""),4.0)</f>
        <v>4</v>
      </c>
      <c r="F364" s="5"/>
      <c r="G364" s="5" t="str">
        <f>IFERROR(__xludf.DUMMYFUNCTION("""COMPUTED_VALUE"""),"สปายไวน์คูลเลอร์คลาสสิค275ml")</f>
        <v>สปายไวน์คูลเลอร์คลาสสิค275ml</v>
      </c>
      <c r="H364" s="7">
        <f>IFERROR(__xludf.DUMMYFUNCTION("""COMPUTED_VALUE"""),34.0)</f>
        <v>34</v>
      </c>
      <c r="I364" s="7"/>
      <c r="J364" s="5"/>
    </row>
    <row r="365">
      <c r="A365" s="5">
        <f>IFERROR(__xludf.DUMMYFUNCTION("""COMPUTED_VALUE"""),7230001.0)</f>
        <v>7230001</v>
      </c>
      <c r="B365" s="6" t="str">
        <f>IFERROR(__xludf.DUMMYFUNCTION("""COMPUTED_VALUE"""),"7230001111020101")</f>
        <v>7230001111020101</v>
      </c>
      <c r="C365" s="5" t="str">
        <f>IFERROR(__xludf.DUMMYFUNCTION("""COMPUTED_VALUE"""),"สุรา ในประเทศ \บรรจุขวดแก้วกลม 700 ซีซี \ตราแสงโสม รุ่นเหรียญทอง")</f>
        <v>สุรา ในประเทศ \บรรจุขวดแก้วกลม 700 ซีซี \ตราแสงโสม รุ่นเหรียญทอง</v>
      </c>
      <c r="D365" s="5">
        <f>IFERROR(__xludf.DUMMYFUNCTION("""COMPUTED_VALUE"""),4.0)</f>
        <v>4</v>
      </c>
      <c r="E365" s="5">
        <f>IFERROR(__xludf.DUMMYFUNCTION("""COMPUTED_VALUE"""),1.0)</f>
        <v>1</v>
      </c>
      <c r="F365" s="5">
        <f>IFERROR(__xludf.DUMMYFUNCTION("""COMPUTED_VALUE"""),8.851707000181E12)</f>
        <v>8851707000181</v>
      </c>
      <c r="G365" s="5" t="str">
        <f>IFERROR(__xludf.DUMMYFUNCTION("""COMPUTED_VALUE"""),"แสงโสมกลม700ml")</f>
        <v>แสงโสมกลม700ml</v>
      </c>
      <c r="H365" s="7"/>
      <c r="I365" s="7"/>
      <c r="J365" s="5"/>
    </row>
    <row r="366">
      <c r="A366" s="5">
        <f>IFERROR(__xludf.DUMMYFUNCTION("""COMPUTED_VALUE"""),7230001.0)</f>
        <v>7230001</v>
      </c>
      <c r="B366" s="6" t="str">
        <f>IFERROR(__xludf.DUMMYFUNCTION("""COMPUTED_VALUE"""),"7230001111020201")</f>
        <v>7230001111020201</v>
      </c>
      <c r="C366" s="5" t="str">
        <f>IFERROR(__xludf.DUMMYFUNCTION("""COMPUTED_VALUE"""),"สุรา ในประเทศ \บรรจุขวดแก้วกลม 700 ซีซี \ตราหงษ์ทอง")</f>
        <v>สุรา ในประเทศ \บรรจุขวดแก้วกลม 700 ซีซี \ตราหงษ์ทอง</v>
      </c>
      <c r="D366" s="5">
        <f>IFERROR(__xludf.DUMMYFUNCTION("""COMPUTED_VALUE"""),4.0)</f>
        <v>4</v>
      </c>
      <c r="E366" s="5">
        <f>IFERROR(__xludf.DUMMYFUNCTION("""COMPUTED_VALUE"""),2.0)</f>
        <v>2</v>
      </c>
      <c r="F366" s="5">
        <f>IFERROR(__xludf.DUMMYFUNCTION("""COMPUTED_VALUE"""),8.852388000613E12)</f>
        <v>8852388000613</v>
      </c>
      <c r="G366" s="5" t="str">
        <f>IFERROR(__xludf.DUMMYFUNCTION("""COMPUTED_VALUE"""),"หงส์ทองสุรา35ดีกรีกลม700ml")</f>
        <v>หงส์ทองสุรา35ดีกรีกลม700ml</v>
      </c>
      <c r="H366" s="7"/>
      <c r="I366" s="7"/>
      <c r="J366" s="5"/>
    </row>
    <row r="367">
      <c r="A367" s="5">
        <f>IFERROR(__xludf.DUMMYFUNCTION("""COMPUTED_VALUE"""),7230001.0)</f>
        <v>7230001</v>
      </c>
      <c r="B367" s="6" t="str">
        <f>IFERROR(__xludf.DUMMYFUNCTION("""COMPUTED_VALUE"""),"7230001112020101")</f>
        <v>7230001112020101</v>
      </c>
      <c r="C367" s="5" t="str">
        <f>IFERROR(__xludf.DUMMYFUNCTION("""COMPUTED_VALUE"""),"สุรา ในประเทศ \บรรจุขวดแก้วแบน 300 ซีซี \ตราแสงโสม รุ่นเหรียญทอง")</f>
        <v>สุรา ในประเทศ \บรรจุขวดแก้วแบน 300 ซีซี \ตราแสงโสม รุ่นเหรียญทอง</v>
      </c>
      <c r="D367" s="5">
        <f>IFERROR(__xludf.DUMMYFUNCTION("""COMPUTED_VALUE"""),4.0)</f>
        <v>4</v>
      </c>
      <c r="E367" s="5">
        <f>IFERROR(__xludf.DUMMYFUNCTION("""COMPUTED_VALUE"""),3.0)</f>
        <v>3</v>
      </c>
      <c r="F367" s="5">
        <f>IFERROR(__xludf.DUMMYFUNCTION("""COMPUTED_VALUE"""),8.851707000174E12)</f>
        <v>8851707000174</v>
      </c>
      <c r="G367" s="5" t="str">
        <f>IFERROR(__xludf.DUMMYFUNCTION("""COMPUTED_VALUE"""),"แสงโสมแบน300ml")</f>
        <v>แสงโสมแบน300ml</v>
      </c>
      <c r="H367" s="7"/>
      <c r="I367" s="7"/>
      <c r="J367" s="5"/>
    </row>
    <row r="368">
      <c r="A368" s="5">
        <f>IFERROR(__xludf.DUMMYFUNCTION("""COMPUTED_VALUE"""),7230001.0)</f>
        <v>7230001</v>
      </c>
      <c r="B368" s="6" t="str">
        <f>IFERROR(__xludf.DUMMYFUNCTION("""COMPUTED_VALUE"""),"7230001112040101")</f>
        <v>7230001112040101</v>
      </c>
      <c r="C368" s="5" t="str">
        <f>IFERROR(__xludf.DUMMYFUNCTION("""COMPUTED_VALUE"""),"สุรา ในประเทศ \บรรจุขวดแก้วแบน 350 ซีซี \ตราหงษ์ทอง")</f>
        <v>สุรา ในประเทศ \บรรจุขวดแก้วแบน 350 ซีซี \ตราหงษ์ทอง</v>
      </c>
      <c r="D368" s="5">
        <f>IFERROR(__xludf.DUMMYFUNCTION("""COMPUTED_VALUE"""),3.0)</f>
        <v>3</v>
      </c>
      <c r="E368" s="5">
        <f>IFERROR(__xludf.DUMMYFUNCTION("""COMPUTED_VALUE"""),4.0)</f>
        <v>4</v>
      </c>
      <c r="F368" s="5">
        <f>IFERROR(__xludf.DUMMYFUNCTION("""COMPUTED_VALUE"""),8.85238800062E12)</f>
        <v>8852388000620</v>
      </c>
      <c r="G368" s="5" t="str">
        <f>IFERROR(__xludf.DUMMYFUNCTION("""COMPUTED_VALUE"""),"หงส์ทองสุรา35ดีกรีแบน350ml")</f>
        <v>หงส์ทองสุรา35ดีกรีแบน350ml</v>
      </c>
      <c r="H368" s="7"/>
      <c r="I368" s="7"/>
      <c r="J368" s="5"/>
    </row>
    <row r="369">
      <c r="A369" s="5">
        <f>IFERROR(__xludf.DUMMYFUNCTION("""COMPUTED_VALUE"""),7230001.0)</f>
        <v>7230001</v>
      </c>
      <c r="B369" s="6" t="str">
        <f>IFERROR(__xludf.DUMMYFUNCTION("""COMPUTED_VALUE"""),"7230001311030101")</f>
        <v>7230001311030101</v>
      </c>
      <c r="C369" s="5" t="str">
        <f>IFERROR(__xludf.DUMMYFUNCTION("""COMPUTED_VALUE"""),"สุรา ต่างประเทศ สก๊อตวิสกี้ \บรรจุขวดแก้วกลม ปริมาณสุทธิ 1 ลิตร \ตรา Red Label")</f>
        <v>สุรา ต่างประเทศ สก๊อตวิสกี้ \บรรจุขวดแก้วกลม ปริมาณสุทธิ 1 ลิตร \ตรา Red Label</v>
      </c>
      <c r="D369" s="5">
        <f>IFERROR(__xludf.DUMMYFUNCTION("""COMPUTED_VALUE"""),3.0)</f>
        <v>3</v>
      </c>
      <c r="E369" s="5">
        <f>IFERROR(__xludf.DUMMYFUNCTION("""COMPUTED_VALUE"""),5.0)</f>
        <v>5</v>
      </c>
      <c r="F369" s="5">
        <f>IFERROR(__xludf.DUMMYFUNCTION("""COMPUTED_VALUE"""),5.000267013602E12)</f>
        <v>5000267013602</v>
      </c>
      <c r="G369" s="5" t="str">
        <f>IFERROR(__xludf.DUMMYFUNCTION("""COMPUTED_VALUE"""),"Johnnie Walker เรดเลเบิ้ล1000ml")</f>
        <v>Johnnie Walker เรดเลเบิ้ล1000ml</v>
      </c>
      <c r="H369" s="7"/>
      <c r="I369" s="7"/>
      <c r="J369" s="5"/>
    </row>
    <row r="370">
      <c r="A370" s="5">
        <f>IFERROR(__xludf.DUMMYFUNCTION("""COMPUTED_VALUE"""),7230001.0)</f>
        <v>7230001</v>
      </c>
      <c r="B370" s="6" t="str">
        <f>IFERROR(__xludf.DUMMYFUNCTION("""COMPUTED_VALUE"""),"7230001311010201")</f>
        <v>7230001311010201</v>
      </c>
      <c r="C370" s="5" t="str">
        <f>IFERROR(__xludf.DUMMYFUNCTION("""COMPUTED_VALUE"""),"สุรา ต่างประเทศ สก๊อตวิสกี้ \บรรจุขวดแก้วกลม ปริมาณสุทธิ 700 มล.(0.70 ลิตร) \ตรา Red Label")</f>
        <v>สุรา ต่างประเทศ สก๊อตวิสกี้ \บรรจุขวดแก้วกลม ปริมาณสุทธิ 700 มล.(0.70 ลิตร) \ตรา Red Label</v>
      </c>
      <c r="D370" s="5">
        <f>IFERROR(__xludf.DUMMYFUNCTION("""COMPUTED_VALUE"""),1.0)</f>
        <v>1</v>
      </c>
      <c r="E370" s="5">
        <f>IFERROR(__xludf.DUMMYFUNCTION("""COMPUTED_VALUE"""),6.0)</f>
        <v>6</v>
      </c>
      <c r="F370" s="5">
        <f>IFERROR(__xludf.DUMMYFUNCTION("""COMPUTED_VALUE"""),5.000267014203E12)</f>
        <v>5000267014203</v>
      </c>
      <c r="G370" s="5" t="str">
        <f>IFERROR(__xludf.DUMMYFUNCTION("""COMPUTED_VALUE"""),"Johnnie Walker เรดเลเบิ้ล700ml")</f>
        <v>Johnnie Walker เรดเลเบิ้ล700ml</v>
      </c>
      <c r="H370" s="7"/>
      <c r="I370" s="7"/>
      <c r="J370" s="5"/>
    </row>
    <row r="371">
      <c r="A371" s="5">
        <f>IFERROR(__xludf.DUMMYFUNCTION("""COMPUTED_VALUE"""),7230001.0)</f>
        <v>7230001</v>
      </c>
      <c r="B371" s="6" t="str">
        <f>IFERROR(__xludf.DUMMYFUNCTION("""COMPUTED_VALUE"""),"7230001311030380")</f>
        <v>7230001311030380</v>
      </c>
      <c r="C371" s="5" t="str">
        <f>IFERROR(__xludf.DUMMYFUNCTION("""COMPUTED_VALUE"""),"สุรา ต่างประเทศ สก๊อตวิสกี้ \บรรจุขวดแก้วกลม ปริมาณสุทธิ 1 ลิตร \ตรา Black Label")</f>
        <v>สุรา ต่างประเทศ สก๊อตวิสกี้ \บรรจุขวดแก้วกลม ปริมาณสุทธิ 1 ลิตร \ตรา Black Label</v>
      </c>
      <c r="D371" s="5">
        <f>IFERROR(__xludf.DUMMYFUNCTION("""COMPUTED_VALUE"""),1.0)</f>
        <v>1</v>
      </c>
      <c r="E371" s="5">
        <f>IFERROR(__xludf.DUMMYFUNCTION("""COMPUTED_VALUE"""),7.0)</f>
        <v>7</v>
      </c>
      <c r="F371" s="5">
        <f>IFERROR(__xludf.DUMMYFUNCTION("""COMPUTED_VALUE"""),5.000267023601E12)</f>
        <v>5000267023601</v>
      </c>
      <c r="G371" s="5" t="str">
        <f>IFERROR(__xludf.DUMMYFUNCTION("""COMPUTED_VALUE"""),"Johnnie Walker แบล็คเลเบิ้ล1000ml")</f>
        <v>Johnnie Walker แบล็คเลเบิ้ล1000ml</v>
      </c>
      <c r="H371" s="7"/>
      <c r="I371" s="7"/>
      <c r="J371" s="5"/>
    </row>
    <row r="372">
      <c r="A372" s="5">
        <f>IFERROR(__xludf.DUMMYFUNCTION("""COMPUTED_VALUE"""),7230001.0)</f>
        <v>7230001</v>
      </c>
      <c r="B372" s="6" t="str">
        <f>IFERROR(__xludf.DUMMYFUNCTION("""COMPUTED_VALUE"""),"7230001311011101")</f>
        <v>7230001311011101</v>
      </c>
      <c r="C372" s="5" t="str">
        <f>IFERROR(__xludf.DUMMYFUNCTION("""COMPUTED_VALUE"""),"สุรา ต่างประเทศ สก๊อตวิสกี้ \บรรจุขวดแก้วกลม ปริมาณสุทธิ 700 มล.(0.70 ลิตร) \ตรา Blend 285")</f>
        <v>สุรา ต่างประเทศ สก๊อตวิสกี้ \บรรจุขวดแก้วกลม ปริมาณสุทธิ 700 มล.(0.70 ลิตร) \ตรา Blend 285</v>
      </c>
      <c r="D372" s="5">
        <f>IFERROR(__xludf.DUMMYFUNCTION("""COMPUTED_VALUE"""),1.0)</f>
        <v>1</v>
      </c>
      <c r="E372" s="5">
        <f>IFERROR(__xludf.DUMMYFUNCTION("""COMPUTED_VALUE"""),8.0)</f>
        <v>8</v>
      </c>
      <c r="F372" s="5">
        <f>IFERROR(__xludf.DUMMYFUNCTION("""COMPUTED_VALUE"""),8.8551550007E12)</f>
        <v>8855155000700</v>
      </c>
      <c r="G372" s="5" t="str">
        <f>IFERROR(__xludf.DUMMYFUNCTION("""COMPUTED_VALUE"""),"เบลนด์285วิสกี้700ml")</f>
        <v>เบลนด์285วิสกี้700ml</v>
      </c>
      <c r="H372" s="7"/>
      <c r="I372" s="7"/>
      <c r="J372" s="5"/>
    </row>
    <row r="373">
      <c r="A373" s="5">
        <f>IFERROR(__xludf.DUMMYFUNCTION("""COMPUTED_VALUE"""),7230001.0)</f>
        <v>7230001</v>
      </c>
      <c r="B373" s="6" t="str">
        <f>IFERROR(__xludf.DUMMYFUNCTION("""COMPUTED_VALUE"""),"7230001411020601")</f>
        <v>7230001411020601</v>
      </c>
      <c r="C373" s="5" t="str">
        <f>IFERROR(__xludf.DUMMYFUNCTION("""COMPUTED_VALUE"""),"สุรา ในประเทศ ชนิด 30 ดีกรี \บรรจุขวดสีชา 625 ซีซี \ตรา ตะวันเเดง")</f>
        <v>สุรา ในประเทศ ชนิด 30 ดีกรี \บรรจุขวดสีชา 625 ซีซี \ตรา ตะวันเเดง</v>
      </c>
      <c r="D373" s="5">
        <f>IFERROR(__xludf.DUMMYFUNCTION("""COMPUTED_VALUE"""),1.0)</f>
        <v>1</v>
      </c>
      <c r="E373" s="5">
        <f>IFERROR(__xludf.DUMMYFUNCTION("""COMPUTED_VALUE"""),10.0)</f>
        <v>10</v>
      </c>
      <c r="F373" s="5"/>
      <c r="G373" s="5" t="str">
        <f>IFERROR(__xludf.DUMMYFUNCTION("""COMPUTED_VALUE"""),"ตะวันแดงสุราขาว30ดีกรี625ml")</f>
        <v>ตะวันแดงสุราขาว30ดีกรี625ml</v>
      </c>
      <c r="H373" s="7">
        <f>IFERROR(__xludf.DUMMYFUNCTION("""COMPUTED_VALUE"""),95.0)</f>
        <v>95</v>
      </c>
      <c r="I373" s="7"/>
      <c r="J373" s="5"/>
    </row>
    <row r="374">
      <c r="A374" s="5"/>
      <c r="B374" s="6" t="str">
        <f>IFERROR(__xludf.DUMMYFUNCTION("""COMPUTED_VALUE"""),"3240002111021101")</f>
        <v>3240002111021101</v>
      </c>
      <c r="C374" s="5" t="str">
        <f>IFERROR(__xludf.DUMMYFUNCTION("""COMPUTED_VALUE"""),"หลอดไฟฟ้า LED T8 แบบยาว \ ขนาด 18 วัตต์ \ ตรา แรนดี้ (Randy)")</f>
        <v>หลอดไฟฟ้า LED T8 แบบยาว \ ขนาด 18 วัตต์ \ ตรา แรนดี้ (Randy)</v>
      </c>
      <c r="D374" s="5"/>
      <c r="E374" s="5"/>
      <c r="F374" s="5">
        <f>IFERROR(__xludf.DUMMYFUNCTION("""COMPUTED_VALUE"""),6.940878527923E12)</f>
        <v>6940878527923</v>
      </c>
      <c r="G374" s="5" t="str">
        <f>IFERROR(__xludf.DUMMYFUNCTION("""COMPUTED_VALUE"""),"แรนดี้ หลอดไฟยาวLED T8 18W 120CM")</f>
        <v>แรนดี้ หลอดไฟยาวLED T8 18W 120CM</v>
      </c>
      <c r="H374" s="7">
        <f>IFERROR(__xludf.DUMMYFUNCTION("""COMPUTED_VALUE"""),119.0)</f>
        <v>119</v>
      </c>
      <c r="I374" s="7"/>
      <c r="J374" s="5"/>
    </row>
    <row r="375">
      <c r="A375" s="5"/>
      <c r="B375" s="6" t="str">
        <f>IFERROR(__xludf.DUMMYFUNCTION("""COMPUTED_VALUE"""),"3240002911170602")</f>
        <v>3240002911170602</v>
      </c>
      <c r="C375" s="5" t="str">
        <f>IFERROR(__xludf.DUMMYFUNCTION("""COMPUTED_VALUE"""),"หลอดไฟฟ้า เกลียว LED ขนาด 9 วัตต์ ตราพานาโซนิค (Panasonic) รุ่น LED ULTRA NEO")</f>
        <v>หลอดไฟฟ้า เกลียว LED ขนาด 9 วัตต์ ตราพานาโซนิค (Panasonic) รุ่น LED ULTRA NEO</v>
      </c>
      <c r="D375" s="5"/>
      <c r="E375" s="5"/>
      <c r="F375" s="5">
        <f>IFERROR(__xludf.DUMMYFUNCTION("""COMPUTED_VALUE"""),6.9265802385E12)</f>
        <v>6926580238500</v>
      </c>
      <c r="G375" s="5" t="str">
        <f>IFERROR(__xludf.DUMMYFUNCTION("""COMPUTED_VALUE"""),"พานาโซนิคหลอดไฟLED-ULTRA-NEOแสงขาว9W")</f>
        <v>พานาโซนิคหลอดไฟLED-ULTRA-NEOแสงขาว9W</v>
      </c>
      <c r="H375" s="7">
        <f>IFERROR(__xludf.DUMMYFUNCTION("""COMPUTED_VALUE"""),115.0)</f>
        <v>115</v>
      </c>
      <c r="I375" s="7"/>
      <c r="J375" s="5"/>
    </row>
    <row r="376">
      <c r="A376" s="5"/>
      <c r="B376" s="6" t="str">
        <f>IFERROR(__xludf.DUMMYFUNCTION("""COMPUTED_VALUE"""),"3240002911270102")</f>
        <v>3240002911270102</v>
      </c>
      <c r="C376" s="5" t="str">
        <f>IFERROR(__xludf.DUMMYFUNCTION("""COMPUTED_VALUE"""),"หลอดไฟฟ้า LED แบบเกลียว ขนาด 12 วัตต์ ตรา พานาโซนิค (Panasonic) รุ่น LED ULTRA NEO")</f>
        <v>หลอดไฟฟ้า LED แบบเกลียว ขนาด 12 วัตต์ ตรา พานาโซนิค (Panasonic) รุ่น LED ULTRA NEO</v>
      </c>
      <c r="D376" s="5"/>
      <c r="E376" s="5"/>
      <c r="F376" s="5">
        <f>IFERROR(__xludf.DUMMYFUNCTION("""COMPUTED_VALUE"""),6.926580238517E12)</f>
        <v>6926580238517</v>
      </c>
      <c r="G376" s="5" t="str">
        <f>IFERROR(__xludf.DUMMYFUNCTION("""COMPUTED_VALUE"""),"พานาโซนิคหลอดไฟLED-ULTRA-NEOแสงส้ม12W")</f>
        <v>พานาโซนิคหลอดไฟLED-ULTRA-NEOแสงส้ม12W</v>
      </c>
      <c r="H376" s="7">
        <f>IFERROR(__xludf.DUMMYFUNCTION("""COMPUTED_VALUE"""),145.0)</f>
        <v>145</v>
      </c>
      <c r="I376" s="7"/>
      <c r="J376" s="5"/>
    </row>
    <row r="377">
      <c r="A377" s="5"/>
      <c r="B377" s="6" t="str">
        <f>IFERROR(__xludf.DUMMYFUNCTION("""COMPUTED_VALUE"""),"3240002811060301")</f>
        <v>3240002811060301</v>
      </c>
      <c r="C377" s="5" t="str">
        <f>IFERROR(__xludf.DUMMYFUNCTION("""COMPUTED_VALUE"""),"หลอดไฟฟ้า LED แบบเกลียว ขนาด 15 วัตต์ ตรา แรนดี้ (Randy) รุ่น YD-15D")</f>
        <v>หลอดไฟฟ้า LED แบบเกลียว ขนาด 15 วัตต์ ตรา แรนดี้ (Randy) รุ่น YD-15D</v>
      </c>
      <c r="D377" s="5"/>
      <c r="E377" s="5"/>
      <c r="F377" s="5">
        <f>IFERROR(__xludf.DUMMYFUNCTION("""COMPUTED_VALUE"""),1.757869768068E12)</f>
        <v>1757869768068</v>
      </c>
      <c r="G377" s="5" t="str">
        <f>IFERROR(__xludf.DUMMYFUNCTION("""COMPUTED_VALUE"""),"RandyหลอดไฟYD-15D-LED-Blubกลมขาว15W")</f>
        <v>RandyหลอดไฟYD-15D-LED-Blubกลมขาว15W</v>
      </c>
      <c r="H377" s="7">
        <f>IFERROR(__xludf.DUMMYFUNCTION("""COMPUTED_VALUE"""),86.0)</f>
        <v>86</v>
      </c>
      <c r="I377" s="7"/>
      <c r="J377" s="5"/>
    </row>
    <row r="378">
      <c r="A378" s="5"/>
      <c r="B378" s="6" t="str">
        <f>IFERROR(__xludf.DUMMYFUNCTION("""COMPUTED_VALUE"""),"3240002111060501")</f>
        <v>3240002111060501</v>
      </c>
      <c r="C378" s="5" t="str">
        <f>IFERROR(__xludf.DUMMYFUNCTION("""COMPUTED_VALUE"""),"หลอดไฟฟ้า LED T8 แบบยาว \ ขนาด 9 วัตต์ \ ตรา อีฟ (EVE) รุ่น ECO")</f>
        <v>หลอดไฟฟ้า LED T8 แบบยาว \ ขนาด 9 วัตต์ \ ตรา อีฟ (EVE) รุ่น ECO</v>
      </c>
      <c r="D378" s="5"/>
      <c r="E378" s="5"/>
      <c r="F378" s="5">
        <f>IFERROR(__xludf.DUMMYFUNCTION("""COMPUTED_VALUE"""),8.858732542396E12)</f>
        <v>8858732542396</v>
      </c>
      <c r="G378" s="5" t="str">
        <f>IFERROR(__xludf.DUMMYFUNCTION("""COMPUTED_VALUE"""),"อีฟหลอดแอลอีดี T8 ECO 9W เดย์ไลท์")</f>
        <v>อีฟหลอดแอลอีดี T8 ECO 9W เดย์ไลท์</v>
      </c>
      <c r="H378" s="7">
        <f>IFERROR(__xludf.DUMMYFUNCTION("""COMPUTED_VALUE"""),79.0)</f>
        <v>79</v>
      </c>
      <c r="I378" s="7"/>
      <c r="J378" s="5"/>
    </row>
    <row r="379">
      <c r="A379" s="5"/>
      <c r="B379" s="6" t="str">
        <f>IFERROR(__xludf.DUMMYFUNCTION("""COMPUTED_VALUE"""),"3240002911170901")</f>
        <v>3240002911170901</v>
      </c>
      <c r="C379" s="5" t="str">
        <f>IFERROR(__xludf.DUMMYFUNCTION("""COMPUTED_VALUE"""),"หลอดไฟฟ้า  เกลียว  LED  ขนาด 9  วัตต์   ตราริช (RICH) รุ่น ECO LIFE")</f>
        <v>หลอดไฟฟ้า  เกลียว  LED  ขนาด 9  วัตต์   ตราริช (RICH) รุ่น ECO LIFE</v>
      </c>
      <c r="D379" s="5"/>
      <c r="E379" s="5"/>
      <c r="F379" s="5">
        <f>IFERROR(__xludf.DUMMYFUNCTION("""COMPUTED_VALUE"""),8.859224200954E12)</f>
        <v>8859224200954</v>
      </c>
      <c r="G379" s="5" t="str">
        <f>IFERROR(__xludf.DUMMYFUNCTION("""COMPUTED_VALUE"""),"ริชหลอดLEDอีโค่ไลฟ์ 9W")</f>
        <v>ริชหลอดLEDอีโค่ไลฟ์ 9W</v>
      </c>
      <c r="H379" s="7">
        <f>IFERROR(__xludf.DUMMYFUNCTION("""COMPUTED_VALUE"""),40.0)</f>
        <v>40</v>
      </c>
      <c r="I379" s="7"/>
      <c r="J379" s="5"/>
    </row>
    <row r="380">
      <c r="A380" s="5"/>
      <c r="B380" s="6" t="str">
        <f>IFERROR(__xludf.DUMMYFUNCTION("""COMPUTED_VALUE"""),"3240002111010302")</f>
        <v>3240002111010302</v>
      </c>
      <c r="C380" s="5" t="str">
        <f>IFERROR(__xludf.DUMMYFUNCTION("""COMPUTED_VALUE"""),"หลอดไฟฟ้า ฟลูออเรสเซนต์ แบบยาว \ขนาด 36 วัตต์ \ ตราพานาโซนิค รุ่น FL40SS-D/36")</f>
        <v>หลอดไฟฟ้า ฟลูออเรสเซนต์ แบบยาว \ขนาด 36 วัตต์ \ ตราพานาโซนิค รุ่น FL40SS-D/36</v>
      </c>
      <c r="D380" s="5"/>
      <c r="E380" s="5"/>
      <c r="F380" s="5">
        <f>IFERROR(__xludf.DUMMYFUNCTION("""COMPUTED_VALUE"""),5.025232075201E12)</f>
        <v>5025232075201</v>
      </c>
      <c r="G380" s="5" t="str">
        <f>IFERROR(__xludf.DUMMYFUNCTION("""COMPUTED_VALUE"""),"พานาโซนิคหลอดฟลูออเรสเซนต์FL40SS-D36w")</f>
        <v>พานาโซนิคหลอดฟลูออเรสเซนต์FL40SS-D36w</v>
      </c>
      <c r="H380" s="7">
        <f>IFERROR(__xludf.DUMMYFUNCTION("""COMPUTED_VALUE"""),129.0)</f>
        <v>129</v>
      </c>
      <c r="I380" s="7"/>
      <c r="J380" s="5"/>
    </row>
    <row r="381" hidden="1">
      <c r="A381" s="5"/>
      <c r="B381" s="6" t="str">
        <f>IFERROR(__xludf.DUMMYFUNCTION("""COMPUTED_VALUE"""),"3240002111020303")</f>
        <v>3240002111020303</v>
      </c>
      <c r="C381" s="5" t="str">
        <f>IFERROR(__xludf.DUMMYFUNCTION("""COMPUTED_VALUE"""),"หลอดไฟฟ้า ฟลูออเรสเซนต์ แบบยาว \ขนาด 18 วัตต์ \ ตราพานาโซนิค FL20SS-D/18 DAYLIGHT")</f>
        <v>หลอดไฟฟ้า ฟลูออเรสเซนต์ แบบยาว \ขนาด 18 วัตต์ \ ตราพานาโซนิค FL20SS-D/18 DAYLIGHT</v>
      </c>
      <c r="D381" s="5"/>
      <c r="E381" s="5"/>
      <c r="F381" s="5">
        <f>IFERROR(__xludf.DUMMYFUNCTION("""COMPUTED_VALUE"""),5.025232075195E12)</f>
        <v>5025232075195</v>
      </c>
      <c r="G381" s="5" t="str">
        <f>IFERROR(__xludf.DUMMYFUNCTION("""COMPUTED_VALUE"""),"พานาโซนิคหลอดฟลูออเรสเซนต์FL20SS-D18w")</f>
        <v>พานาโซนิคหลอดฟลูออเรสเซนต์FL20SS-D18w</v>
      </c>
      <c r="H381" s="7">
        <f>IFERROR(__xludf.DUMMYFUNCTION("""COMPUTED_VALUE"""),85.0)</f>
        <v>85</v>
      </c>
      <c r="I381" s="7"/>
      <c r="J381" s="5"/>
    </row>
    <row r="382" hidden="1">
      <c r="A382" s="5"/>
      <c r="B382" s="6" t="str">
        <f>IFERROR(__xludf.DUMMYFUNCTION("""COMPUTED_VALUE"""),"3240002911060203")</f>
        <v>3240002911060203</v>
      </c>
      <c r="C382" s="5" t="str">
        <f>IFERROR(__xludf.DUMMYFUNCTION("""COMPUTED_VALUE"""),"หลอดไฟฟ้าตะเกียบแบบเกลียว ประหยัดไฟฟ้า ขนาด 18 วัตต์ ตราพานาโซนิค รุ่น EFUHV18D65A")</f>
        <v>หลอดไฟฟ้าตะเกียบแบบเกลียว ประหยัดไฟฟ้า ขนาด 18 วัตต์ ตราพานาโซนิค รุ่น EFUHV18D65A</v>
      </c>
      <c r="D382" s="5"/>
      <c r="E382" s="5"/>
      <c r="F382" s="5">
        <f>IFERROR(__xludf.DUMMYFUNCTION("""COMPUTED_VALUE"""),8.88754956666E12)</f>
        <v>8887549566660</v>
      </c>
      <c r="G382" s="5" t="str">
        <f>IFERROR(__xludf.DUMMYFUNCTION("""COMPUTED_VALUE"""),"PM_พานาโซนิคหลอดฟลูออเรสเซนต์แบบตะเกียบ")</f>
        <v>PM_พานาโซนิคหลอดฟลูออเรสเซนต์แบบตะเกียบ</v>
      </c>
      <c r="H382" s="7"/>
      <c r="I382" s="7"/>
      <c r="J382" s="5"/>
    </row>
    <row r="383" hidden="1">
      <c r="A383" s="5"/>
      <c r="B383" s="6" t="str">
        <f>IFERROR(__xludf.DUMMYFUNCTION("""COMPUTED_VALUE"""),"3240002811040101")</f>
        <v>3240002811040101</v>
      </c>
      <c r="C383" s="5" t="str">
        <f>IFERROR(__xludf.DUMMYFUNCTION("""COMPUTED_VALUE"""),"หลอดไฟฟ้า LED NEO เกลียว ขนาด 7 วัตต์ ตรา PANASONIC รุ่น LDAHV7DH6T สี Cool Daylight")</f>
        <v>หลอดไฟฟ้า LED NEO เกลียว ขนาด 7 วัตต์ ตรา PANASONIC รุ่น LDAHV7DH6T สี Cool Daylight</v>
      </c>
      <c r="D383" s="5"/>
      <c r="E383" s="5"/>
      <c r="F383" s="5">
        <f>IFERROR(__xludf.DUMMYFUNCTION("""COMPUTED_VALUE"""),8.997207617198E12)</f>
        <v>8997207617198</v>
      </c>
      <c r="G383" s="5" t="str">
        <f>IFERROR(__xludf.DUMMYFUNCTION("""COMPUTED_VALUE"""),"10_พานาโซนิคหลอดLEDคูลเดย์ไลท์7w")</f>
        <v>10_พานาโซนิคหลอดLEDคูลเดย์ไลท์7w</v>
      </c>
      <c r="H383" s="7">
        <f>IFERROR(__xludf.DUMMYFUNCTION("""COMPUTED_VALUE"""),95.0)</f>
        <v>95</v>
      </c>
      <c r="I383" s="7"/>
      <c r="J383" s="5"/>
    </row>
    <row r="384" hidden="1">
      <c r="A384" s="5"/>
      <c r="B384" s="6" t="str">
        <f>IFERROR(__xludf.DUMMYFUNCTION("""COMPUTED_VALUE"""),"3240002911250280")</f>
        <v>3240002911250280</v>
      </c>
      <c r="C384" s="5" t="str">
        <f>IFERROR(__xludf.DUMMYFUNCTION("""COMPUTED_VALUE"""),"หลอดไฟฟ้า แบบเกลียว LED NEO ประหยัดไฟคุณภาพสูง ขนาด 15 วัตต์ ตราพานาโซนิค รุ่น Cool Daylight")</f>
        <v>หลอดไฟฟ้า แบบเกลียว LED NEO ประหยัดไฟคุณภาพสูง ขนาด 15 วัตต์ ตราพานาโซนิค รุ่น Cool Daylight</v>
      </c>
      <c r="D384" s="5"/>
      <c r="E384" s="5"/>
      <c r="F384" s="5"/>
      <c r="G384" s="5" t="str">
        <f>IFERROR(__xludf.DUMMYFUNCTION("""COMPUTED_VALUE"""),"PM_พานาโซนิคหลอดLEDคูลเดย์ไลท์15w")</f>
        <v>PM_พานาโซนิคหลอดLEDคูลเดย์ไลท์15w</v>
      </c>
      <c r="H384" s="7">
        <f>IFERROR(__xludf.DUMMYFUNCTION("""COMPUTED_VALUE"""),225.0)</f>
        <v>225</v>
      </c>
      <c r="I384" s="7"/>
      <c r="J384" s="5"/>
    </row>
    <row r="385" hidden="1">
      <c r="A385" s="5"/>
      <c r="B385" s="6" t="str">
        <f>IFERROR(__xludf.DUMMYFUNCTION("""COMPUTED_VALUE"""),"3240002911270101")</f>
        <v>3240002911270101</v>
      </c>
      <c r="C385" s="5" t="str">
        <f>IFERROR(__xludf.DUMMYFUNCTION("""COMPUTED_VALUE"""),"หลอดไฟฟ้า LED แบบเกลียว ขนาด 12 วัตต์ ตรา พานาโซนิค (Panasonic) รุ่น LED NEO")</f>
        <v>หลอดไฟฟ้า LED แบบเกลียว ขนาด 12 วัตต์ ตรา พานาโซนิค (Panasonic) รุ่น LED NEO</v>
      </c>
      <c r="D385" s="5"/>
      <c r="E385" s="5"/>
      <c r="F385" s="5">
        <f>IFERROR(__xludf.DUMMYFUNCTION("""COMPUTED_VALUE"""),8.997207617235E12)</f>
        <v>8997207617235</v>
      </c>
      <c r="G385" s="5" t="str">
        <f>IFERROR(__xludf.DUMMYFUNCTION("""COMPUTED_VALUE"""),"CP2_พานาโซนิคหลอดLEDคูลเดย์ไลท์12w")</f>
        <v>CP2_พานาโซนิคหลอดLEDคูลเดย์ไลท์12w</v>
      </c>
      <c r="H385" s="7">
        <f>IFERROR(__xludf.DUMMYFUNCTION("""COMPUTED_VALUE"""),175.0)</f>
        <v>175</v>
      </c>
      <c r="I385" s="7"/>
      <c r="J385" s="5"/>
    </row>
    <row r="386" hidden="1">
      <c r="A386" s="5"/>
      <c r="B386" s="6" t="str">
        <f>IFERROR(__xludf.DUMMYFUNCTION("""COMPUTED_VALUE"""),"3240002811040601")</f>
        <v>3240002811040601</v>
      </c>
      <c r="C386" s="5" t="str">
        <f>IFERROR(__xludf.DUMMYFUNCTION("""COMPUTED_VALUE"""),"หลอดไฟฟ้า LED แบบเกลียว ขนาด 7 วัตต์ ตรา อีฟ ไลท์ติ้ง (EVE Lighting)")</f>
        <v>หลอดไฟฟ้า LED แบบเกลียว ขนาด 7 วัตต์ ตรา อีฟ ไลท์ติ้ง (EVE Lighting)</v>
      </c>
      <c r="D386" s="5"/>
      <c r="E386" s="5"/>
      <c r="F386" s="5">
        <f>IFERROR(__xludf.DUMMYFUNCTION("""COMPUTED_VALUE"""),8.858732518551E12)</f>
        <v>8858732518551</v>
      </c>
      <c r="G386" s="5" t="str">
        <f>IFERROR(__xludf.DUMMYFUNCTION("""COMPUTED_VALUE"""),"อีฟหลอดกลมแอลอีดี 7W เดย์ไลท์")</f>
        <v>อีฟหลอดกลมแอลอีดี 7W เดย์ไลท์</v>
      </c>
      <c r="H386" s="7">
        <f>IFERROR(__xludf.DUMMYFUNCTION("""COMPUTED_VALUE"""),55.0)</f>
        <v>55</v>
      </c>
      <c r="I386" s="7"/>
      <c r="J386" s="5"/>
    </row>
    <row r="387" hidden="1">
      <c r="A387" s="5"/>
      <c r="B387" s="6" t="str">
        <f>IFERROR(__xludf.DUMMYFUNCTION("""COMPUTED_VALUE"""),"3240002911171001")</f>
        <v>3240002911171001</v>
      </c>
      <c r="C387" s="5" t="str">
        <f>IFERROR(__xludf.DUMMYFUNCTION("""COMPUTED_VALUE"""),"หลอดไฟฟ้า  เกลียว  LED  ขนาด 9  วัตต์   ตราซิลวาเนีย (SYLVANIA) รุ่น ToLEDo Basic Plus")</f>
        <v>หลอดไฟฟ้า  เกลียว  LED  ขนาด 9  วัตต์   ตราซิลวาเนีย (SYLVANIA) รุ่น ToLEDo Basic Plus</v>
      </c>
      <c r="D387" s="5"/>
      <c r="E387" s="5"/>
      <c r="F387" s="5">
        <f>IFERROR(__xludf.DUMMYFUNCTION("""COMPUTED_VALUE"""),8.855167054456E12)</f>
        <v>8855167054456</v>
      </c>
      <c r="G387" s="5" t="str">
        <f>IFERROR(__xludf.DUMMYFUNCTION("""COMPUTED_VALUE"""),"ซิลวาเนีย หลอดกลม LED 9วัตต์ แสงสีขาว")</f>
        <v>ซิลวาเนีย หลอดกลม LED 9วัตต์ แสงสีขาว</v>
      </c>
      <c r="H387" s="7">
        <f>IFERROR(__xludf.DUMMYFUNCTION("""COMPUTED_VALUE"""),39.0)</f>
        <v>39</v>
      </c>
      <c r="I387" s="7"/>
      <c r="J387" s="5"/>
    </row>
    <row r="388" hidden="1">
      <c r="A388" s="5"/>
      <c r="B388" s="6" t="str">
        <f>IFERROR(__xludf.DUMMYFUNCTION("""COMPUTED_VALUE"""),"3240002911280201")</f>
        <v>3240002911280201</v>
      </c>
      <c r="C388" s="5" t="str">
        <f>IFERROR(__xludf.DUMMYFUNCTION("""COMPUTED_VALUE"""),"หลอดไฟฟ้า LED แบบเกลียว ขนาด 11 วัตต์ ตรา ซิลวาเนีย (SYLVANIA) รุ่น ToLEDo Basic Plus")</f>
        <v>หลอดไฟฟ้า LED แบบเกลียว ขนาด 11 วัตต์ ตรา ซิลวาเนีย (SYLVANIA) รุ่น ToLEDo Basic Plus</v>
      </c>
      <c r="D388" s="5"/>
      <c r="E388" s="5"/>
      <c r="F388" s="5">
        <f>IFERROR(__xludf.DUMMYFUNCTION("""COMPUTED_VALUE"""),8.85516705447E12)</f>
        <v>8855167054470</v>
      </c>
      <c r="G388" s="5" t="str">
        <f>IFERROR(__xludf.DUMMYFUNCTION("""COMPUTED_VALUE"""),"ซิลวาเนีย หลอดกลม LED 11วัตต์  แสงสีขาว")</f>
        <v>ซิลวาเนีย หลอดกลม LED 11วัตต์  แสงสีขาว</v>
      </c>
      <c r="H388" s="7">
        <f>IFERROR(__xludf.DUMMYFUNCTION("""COMPUTED_VALUE"""),49.0)</f>
        <v>49</v>
      </c>
      <c r="I388" s="7"/>
      <c r="J388" s="5"/>
    </row>
    <row r="389" hidden="1">
      <c r="A389" s="5"/>
      <c r="B389" s="6" t="str">
        <f>IFERROR(__xludf.DUMMYFUNCTION("""COMPUTED_VALUE"""),"4210010711040101")</f>
        <v>4210010711040101</v>
      </c>
      <c r="C389" s="5" t="str">
        <f>IFERROR(__xludf.DUMMYFUNCTION("""COMPUTED_VALUE"""),"ใบมีดโกน ชนิดระบบใบมีด 3 ใบ ปรับมุมได้ บรรจุแพ็ค \ จำนวน 2 ใบ \ ตรา Gillette รุ่น MACH3 TURBO 3D")</f>
        <v>ใบมีดโกน ชนิดระบบใบมีด 3 ใบ ปรับมุมได้ บรรจุแพ็ค \ จำนวน 2 ใบ \ ตรา Gillette รุ่น MACH3 TURBO 3D</v>
      </c>
      <c r="D389" s="5"/>
      <c r="E389" s="5"/>
      <c r="F389" s="5"/>
      <c r="G389" s="5" t="str">
        <f>IFERROR(__xludf.DUMMYFUNCTION("""COMPUTED_VALUE"""),"PM_ยิลเลตต์ใบมีดโกนมัคทรีเทอร์โบx2")</f>
        <v>PM_ยิลเลตต์ใบมีดโกนมัคทรีเทอร์โบx2</v>
      </c>
      <c r="H389" s="7"/>
      <c r="I389" s="7"/>
      <c r="J389" s="5"/>
    </row>
    <row r="390" hidden="1">
      <c r="A390" s="5"/>
      <c r="B390" s="6" t="str">
        <f>IFERROR(__xludf.DUMMYFUNCTION("""COMPUTED_VALUE"""),"4210010611010104")</f>
        <v>4210010611010104</v>
      </c>
      <c r="C390" s="5" t="str">
        <f>IFERROR(__xludf.DUMMYFUNCTION("""COMPUTED_VALUE"""),"ใบมีดโกน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3)")</f>
        <v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v>
      </c>
      <c r="D390" s="5"/>
      <c r="E390" s="5"/>
      <c r="F390" s="5">
        <f>IFERROR(__xludf.DUMMYFUNCTION("""COMPUTED_VALUE"""),4.902430733298E12)</f>
        <v>4902430733298</v>
      </c>
      <c r="G390" s="5" t="str">
        <f>IFERROR(__xludf.DUMMYFUNCTION("""COMPUTED_VALUE"""),"PM_ยิลเลตต์ใบมีดโกนบลูทรีเฟล็กซ์ซี่x2")</f>
        <v>PM_ยิลเลตต์ใบมีดโกนบลูทรีเฟล็กซ์ซี่x2</v>
      </c>
      <c r="H390" s="7"/>
      <c r="I390" s="7"/>
      <c r="J390" s="5"/>
    </row>
    <row r="391" hidden="1">
      <c r="A391" s="5"/>
      <c r="B391" s="6" t="str">
        <f>IFERROR(__xludf.DUMMYFUNCTION("""COMPUTED_VALUE"""),"4210010211050101")</f>
        <v>4210010211050101</v>
      </c>
      <c r="C391" s="5" t="str">
        <f>IFERROR(__xludf.DUMMYFUNCTION("""COMPUTED_VALUE"""),"ใบมีดโกน ชนิดธรรมดา บรรจุห่อกระดาษ \ จำนวน 6 ใบ\ ตรายิลล์เลตต์ รุ่นซุปเปอร์ธิน (Super Thin) - 5 ใบ แถมฟรี 1 ใบ")</f>
        <v>ใบมีดโกน ชนิดธรรมดา บรรจุห่อกระดาษ \ จำนวน 6 ใบ\ ตรายิลล์เลตต์ รุ่นซุปเปอร์ธิน (Super Thin) - 5 ใบ แถมฟรี 1 ใบ</v>
      </c>
      <c r="D391" s="5"/>
      <c r="E391" s="5"/>
      <c r="F391" s="5">
        <f>IFERROR(__xludf.DUMMYFUNCTION("""COMPUTED_VALUE"""),7.702018877201E12)</f>
        <v>7702018877201</v>
      </c>
      <c r="G391" s="5" t="str">
        <f>IFERROR(__xludf.DUMMYFUNCTION("""COMPUTED_VALUE"""),"ยิลเลตต์ใบมีดโกนซุปเปอร์ธิน(5+1)")</f>
        <v>ยิลเลตต์ใบมีดโกนซุปเปอร์ธิน(5+1)</v>
      </c>
      <c r="H391" s="7">
        <f>IFERROR(__xludf.DUMMYFUNCTION("""COMPUTED_VALUE"""),29.0)</f>
        <v>29</v>
      </c>
      <c r="I391" s="7"/>
      <c r="J391" s="5"/>
    </row>
    <row r="392" hidden="1">
      <c r="A392" s="5"/>
      <c r="B392" s="6" t="str">
        <f>IFERROR(__xludf.DUMMYFUNCTION("""COMPUTED_VALUE"""),"4210010111050105")</f>
        <v>4210010111050105</v>
      </c>
      <c r="C392" s="5" t="str">
        <f>IFERROR(__xludf.DUMMYFUNCTION("""COMPUTED_VALUE"""),"ใบมีดโกน ชนิดระบบใบมีแฝดปรับมุมได้(มีดแฝด) บรรจุแพ็ค\ จำนวน 2 อัน\ ตรา ยิลเลตต์ รุ่น เวคเตอร์ (Gillette Vector)")</f>
        <v>ใบมีดโกน ชนิดระบบใบมีแฝดปรับมุมได้(มีดแฝด) บรรจุแพ็ค\ จำนวน 2 อัน\ ตรา ยิลเลตต์ รุ่น เวคเตอร์ (Gillette Vector)</v>
      </c>
      <c r="D392" s="5"/>
      <c r="E392" s="5"/>
      <c r="F392" s="5"/>
      <c r="G392" s="5" t="str">
        <f>IFERROR(__xludf.DUMMYFUNCTION("""COMPUTED_VALUE"""),"ยิลเลตต์ใบมีดโกนเว็คเตอร์x2")</f>
        <v>ยิลเลตต์ใบมีดโกนเว็คเตอร์x2</v>
      </c>
      <c r="H392" s="7">
        <f>IFERROR(__xludf.DUMMYFUNCTION("""COMPUTED_VALUE"""),85.0)</f>
        <v>85</v>
      </c>
      <c r="I392" s="7">
        <f>IFERROR(__xludf.DUMMYFUNCTION("""COMPUTED_VALUE"""),79.0)</f>
        <v>79</v>
      </c>
      <c r="J392" s="5"/>
    </row>
    <row r="393" hidden="1">
      <c r="A393" s="5"/>
      <c r="B393" s="6" t="str">
        <f>IFERROR(__xludf.DUMMYFUNCTION("""COMPUTED_VALUE"""),"4210010411030301")</f>
        <v>4210010411030301</v>
      </c>
      <c r="C393" s="5" t="str">
        <f>IFERROR(__xludf.DUMMYFUNCTION("""COMPUTED_VALUE"""),"ใบมีดโกน ชนิดระบบมีดแฝด บรรจุแพ็ค \ จำนวน 2 ด้าม \ ตรา ดอร์โค รุ่น เพซ 2")</f>
        <v>ใบมีดโกน ชนิดระบบมีดแฝด บรรจุแพ็ค \ จำนวน 2 ด้าม \ ตรา ดอร์โค รุ่น เพซ 2</v>
      </c>
      <c r="D393" s="5"/>
      <c r="E393" s="5"/>
      <c r="F393" s="5">
        <f>IFERROR(__xludf.DUMMYFUNCTION("""COMPUTED_VALUE"""),8.801038565828E12)</f>
        <v>8801038565828</v>
      </c>
      <c r="G393" s="5" t="str">
        <f>IFERROR(__xludf.DUMMYFUNCTION("""COMPUTED_VALUE"""),"ดอร์โก้มีดโกนสีเหลืองรุ่น2ใบมีดx2")</f>
        <v>ดอร์โก้มีดโกนสีเหลืองรุ่น2ใบมีดx2</v>
      </c>
      <c r="H393" s="7">
        <f>IFERROR(__xludf.DUMMYFUNCTION("""COMPUTED_VALUE"""),45.0)</f>
        <v>45</v>
      </c>
      <c r="I393" s="7"/>
      <c r="J393" s="5"/>
    </row>
    <row r="394" hidden="1">
      <c r="A394" s="5"/>
      <c r="B394" s="6" t="str">
        <f>IFERROR(__xludf.DUMMYFUNCTION("""COMPUTED_VALUE"""),"4210010611030101")</f>
        <v>4210010611030101</v>
      </c>
      <c r="C394" s="5" t="str">
        <f>IFERROR(__xludf.DUMMYFUNCTION("""COMPUTED_VALUE"""),"ใบมีดโกน (พร้อมด้าม) ชนิดระบบมีด 3 ใบ ปรับมุมได้ บรรจุแพ็ค 1 ด้าม ตราดอร์โค รุ่น เพซ 3 พลัส")</f>
        <v>ใบมีดโกน (พร้อมด้าม) ชนิดระบบมีด 3 ใบ ปรับมุมได้ บรรจุแพ็ค 1 ด้าม ตราดอร์โค รุ่น เพซ 3 พลัส</v>
      </c>
      <c r="D394" s="5"/>
      <c r="E394" s="5"/>
      <c r="F394" s="5">
        <f>IFERROR(__xludf.DUMMYFUNCTION("""COMPUTED_VALUE"""),8.801038560717E12)</f>
        <v>8801038560717</v>
      </c>
      <c r="G394" s="5" t="str">
        <f>IFERROR(__xludf.DUMMYFUNCTION("""COMPUTED_VALUE"""),"ดอร์โก้ใบมีดโกนสีน้ำเงินรุ่น3ใบมีด")</f>
        <v>ดอร์โก้ใบมีดโกนสีน้ำเงินรุ่น3ใบมีด</v>
      </c>
      <c r="H394" s="7">
        <f>IFERROR(__xludf.DUMMYFUNCTION("""COMPUTED_VALUE"""),29.0)</f>
        <v>29</v>
      </c>
      <c r="I394" s="7"/>
      <c r="J394" s="5"/>
    </row>
    <row r="395" hidden="1">
      <c r="A395" s="5"/>
      <c r="B395" s="6" t="str">
        <f>IFERROR(__xludf.DUMMYFUNCTION("""COMPUTED_VALUE"""),"4210010711030102")</f>
        <v>4210010711030102</v>
      </c>
      <c r="C395" s="5" t="str">
        <f>IFERROR(__xludf.DUMMYFUNCTION("""COMPUTED_VALUE"""),"ใบมีดโกน ชนิดระบบใบมีด 3 ใบ ปรับมุมได้ บรรจุแพ็ค \ จำนวน 3 ใบ \ ตรา ตรายิลเลตต์ (Gillette) รุ่นมัคทรี เฟรช (MACH3 Fresh)")</f>
        <v>ใบมีดโกน ชนิดระบบใบมีด 3 ใบ ปรับมุมได้ บรรจุแพ็ค \ จำนวน 3 ใบ \ ตรา ตรายิลเลตต์ (Gillette) รุ่นมัคทรี เฟรช (MACH3 Fresh)</v>
      </c>
      <c r="D395" s="5"/>
      <c r="E395" s="5"/>
      <c r="F395" s="5"/>
      <c r="G395" s="5" t="str">
        <f>IFERROR(__xludf.DUMMYFUNCTION("""COMPUTED_VALUE"""),"ยิลเลตต์ใบมีดโกนx3")</f>
        <v>ยิลเลตต์ใบมีดโกนx3</v>
      </c>
      <c r="H395" s="7">
        <f>IFERROR(__xludf.DUMMYFUNCTION("""COMPUTED_VALUE"""),339.0)</f>
        <v>339</v>
      </c>
      <c r="I395" s="7">
        <f>IFERROR(__xludf.DUMMYFUNCTION("""COMPUTED_VALUE"""),309.0)</f>
        <v>309</v>
      </c>
      <c r="J395" s="5"/>
    </row>
    <row r="396" hidden="1">
      <c r="A396" s="5"/>
      <c r="B396" s="6" t="str">
        <f>IFERROR(__xludf.DUMMYFUNCTION("""COMPUTED_VALUE"""),"4210010411030201")</f>
        <v>4210010411030201</v>
      </c>
      <c r="C396" s="5" t="str">
        <f>IFERROR(__xludf.DUMMYFUNCTION("""COMPUTED_VALUE"""),"ใบมีดโกน ชนิดระบบมีดแฝด บรรจุแพ็ค \ จำนวน 2 ด้าม \ ตรา ตรา BiC รุ่น 2 Sensitive")</f>
        <v>ใบมีดโกน ชนิดระบบมีดแฝด บรรจุแพ็ค \ จำนวน 2 ด้าม \ ตรา ตรา BiC รุ่น 2 Sensitive</v>
      </c>
      <c r="D396" s="5"/>
      <c r="E396" s="5"/>
      <c r="F396" s="5">
        <f>IFERROR(__xludf.DUMMYFUNCTION("""COMPUTED_VALUE"""),3.086123242401E12)</f>
        <v>3086123242401</v>
      </c>
      <c r="G396" s="5" t="str">
        <f>IFERROR(__xludf.DUMMYFUNCTION("""COMPUTED_VALUE"""),"PM_BICมีดโกนx2")</f>
        <v>PM_BICมีดโกนx2</v>
      </c>
      <c r="H396" s="7"/>
      <c r="I396" s="7"/>
      <c r="J396" s="5"/>
    </row>
    <row r="397" hidden="1">
      <c r="A397" s="5"/>
      <c r="B397" s="6" t="str">
        <f>IFERROR(__xludf.DUMMYFUNCTION("""COMPUTED_VALUE"""),"4210030311010104")</f>
        <v>4210030311010104</v>
      </c>
      <c r="C397" s="5" t="str">
        <f>IFERROR(__xludf.DUMMYFUNCTION("""COMPUTED_VALUE"""),"ผลิตภัณฑ์รองพื้น ชนิดครีม บรรจุซอง ปริมาณ 5 มล. ตรา Maybelline Newyork รุ่น FIT ME MATTE+PORELESS สีฟ้า")</f>
        <v>ผลิตภัณฑ์รองพื้น ชนิดครีม บรรจุซอง ปริมาณ 5 มล. ตรา Maybelline Newyork รุ่น FIT ME MATTE+PORELESS สีฟ้า</v>
      </c>
      <c r="D397" s="5"/>
      <c r="E397" s="5"/>
      <c r="F397" s="5">
        <f>IFERROR(__xludf.DUMMYFUNCTION("""COMPUTED_VALUE"""),6.902395981817E12)</f>
        <v>6902395981817</v>
      </c>
      <c r="G397" s="5" t="str">
        <f>IFERROR(__xludf.DUMMYFUNCTION("""COMPUTED_VALUE"""),"MBLรองพื้นแมทฟิตมีวอร์มนู้ด(128)5ml")</f>
        <v>MBLรองพื้นแมทฟิตมีวอร์มนู้ด(128)5ml</v>
      </c>
      <c r="H397" s="7">
        <f>IFERROR(__xludf.DUMMYFUNCTION("""COMPUTED_VALUE"""),59.0)</f>
        <v>59</v>
      </c>
      <c r="I397" s="7">
        <f>IFERROR(__xludf.DUMMYFUNCTION("""COMPUTED_VALUE"""),49.0)</f>
        <v>49</v>
      </c>
      <c r="J397" s="5"/>
    </row>
    <row r="398" hidden="1">
      <c r="A398" s="5"/>
      <c r="B398" s="6" t="str">
        <f>IFERROR(__xludf.DUMMYFUNCTION("""COMPUTED_VALUE"""),"4210030211010601")</f>
        <v>4210030211010601</v>
      </c>
      <c r="C398" s="5" t="str">
        <f>IFERROR(__xludf.DUMMYFUNCTION("""COMPUTED_VALUE"""),"ผลิตภัณฑ์รองพื้น ชนิดลิควิด บรรจุขวด ปริมาณ 30 มล. ตรา LifeFord รุ่น super matte coverage")</f>
        <v>ผลิตภัณฑ์รองพื้น ชนิดลิควิด บรรจุขวด ปริมาณ 30 มล. ตรา LifeFord รุ่น super matte coverage</v>
      </c>
      <c r="D398" s="5"/>
      <c r="E398" s="5"/>
      <c r="F398" s="5">
        <f>IFERROR(__xludf.DUMMYFUNCTION("""COMPUTED_VALUE"""),8.858072600619E12)</f>
        <v>8858072600619</v>
      </c>
      <c r="G398" s="5" t="str">
        <f>IFERROR(__xludf.DUMMYFUNCTION("""COMPUTED_VALUE"""),"ไลฟฟอร์ดรองพื้นซูเปอร์แมทR02 30ML")</f>
        <v>ไลฟฟอร์ดรองพื้นซูเปอร์แมทR02 30ML</v>
      </c>
      <c r="H398" s="7">
        <f>IFERROR(__xludf.DUMMYFUNCTION("""COMPUTED_VALUE"""),229.0)</f>
        <v>229</v>
      </c>
      <c r="I398" s="7">
        <f>IFERROR(__xludf.DUMMYFUNCTION("""COMPUTED_VALUE"""),159.0)</f>
        <v>159</v>
      </c>
      <c r="J398" s="5"/>
    </row>
    <row r="399" hidden="1">
      <c r="A399" s="5"/>
      <c r="B399" s="6" t="str">
        <f>IFERROR(__xludf.DUMMYFUNCTION("""COMPUTED_VALUE"""),"4210030311030101")</f>
        <v>4210030311030101</v>
      </c>
      <c r="C399" s="5" t="str">
        <f>IFERROR(__xludf.DUMMYFUNCTION("""COMPUTED_VALUE"""),"ผลิตภัณฑ์รองพื้น ชนิดครีม บรรจุซอง ปริมาณ 7 มล. ตรา ศรีจันทร์ เอ็นชานเท็ด คัฟเวอร์ เพอร์เฟคท์ ฟาวน์เดชั่น")</f>
        <v>ผลิตภัณฑ์รองพื้น ชนิดครีม บรรจุซอง ปริมาณ 7 มล. ตรา ศรีจันทร์ เอ็นชานเท็ด คัฟเวอร์ เพอร์เฟคท์ ฟาวน์เดชั่น</v>
      </c>
      <c r="D399" s="5"/>
      <c r="E399" s="5"/>
      <c r="F399" s="5">
        <f>IFERROR(__xludf.DUMMYFUNCTION("""COMPUTED_VALUE"""),8.8586968082E12)</f>
        <v>8858696808200</v>
      </c>
      <c r="G399" s="5" t="str">
        <f>IFERROR(__xludf.DUMMYFUNCTION("""COMPUTED_VALUE"""),"ศรีจันทร์ครีมรองพื้น 120 Beige 7g.")</f>
        <v>ศรีจันทร์ครีมรองพื้น 120 Beige 7g.</v>
      </c>
      <c r="H399" s="7">
        <f>IFERROR(__xludf.DUMMYFUNCTION("""COMPUTED_VALUE"""),49.0)</f>
        <v>49</v>
      </c>
      <c r="I399" s="7"/>
      <c r="J399" s="5"/>
    </row>
    <row r="400" hidden="1">
      <c r="A400" s="5"/>
      <c r="B400" s="6" t="str">
        <f>IFERROR(__xludf.DUMMYFUNCTION("""COMPUTED_VALUE"""),"4210030311010501")</f>
        <v>4210030311010501</v>
      </c>
      <c r="C400" s="5" t="str">
        <f>IFERROR(__xludf.DUMMYFUNCTION("""COMPUTED_VALUE"""),"ผลิตภัณฑ์รองพื้น ชนิดครีม บรรจุซอง ปริมาณ 5 มล. ตรา คิวเพรส รุ่น วันทูบิวตี้ฟูลแอร์รี่แมท")</f>
        <v>ผลิตภัณฑ์รองพื้น ชนิดครีม บรรจุซอง ปริมาณ 5 มล. ตรา คิวเพรส รุ่น วันทูบิวตี้ฟูลแอร์รี่แมท</v>
      </c>
      <c r="D400" s="5"/>
      <c r="E400" s="5"/>
      <c r="F400" s="5">
        <f>IFERROR(__xludf.DUMMYFUNCTION("""COMPUTED_VALUE"""),8.850080749922E12)</f>
        <v>8850080749922</v>
      </c>
      <c r="G400" s="5" t="str">
        <f>IFERROR(__xludf.DUMMYFUNCTION("""COMPUTED_VALUE"""),"คิวท์เพรสรองพื้นแอรี่แมท03แซนเบจ5g")</f>
        <v>คิวท์เพรสรองพื้นแอรี่แมท03แซนเบจ5g</v>
      </c>
      <c r="H400" s="7">
        <f>IFERROR(__xludf.DUMMYFUNCTION("""COMPUTED_VALUE"""),49.0)</f>
        <v>49</v>
      </c>
      <c r="I400" s="7"/>
      <c r="J400" s="5"/>
    </row>
    <row r="401" hidden="1">
      <c r="A401" s="5"/>
      <c r="B401" s="6" t="str">
        <f>IFERROR(__xludf.DUMMYFUNCTION("""COMPUTED_VALUE"""),"4210030311010103")</f>
        <v>4210030311010103</v>
      </c>
      <c r="C401" s="5" t="str">
        <f>IFERROR(__xludf.DUMMYFUNCTION("""COMPUTED_VALUE"""),"ผลิตภัณฑ์รองพื้น ชนิดครีม บรรจุซอง ปริมาณ 5 มล. ตรา Maybelline Newyork รุ่น FIT ME MAKEUP TINT + SKINCARE FRESH BRIGHT LOOK")</f>
        <v>ผลิตภัณฑ์รองพื้น ชนิดครีม บรรจุซอง ปริมาณ 5 มล. ตรา Maybelline Newyork รุ่น FIT ME MAKEUP TINT + SKINCARE FRESH BRIGHT LOOK</v>
      </c>
      <c r="D401" s="5"/>
      <c r="E401" s="5"/>
      <c r="F401" s="5">
        <f>IFERROR(__xludf.DUMMYFUNCTION("""COMPUTED_VALUE"""),8.850434278764E12)</f>
        <v>8850434278764</v>
      </c>
      <c r="G401" s="5" t="str">
        <f>IFERROR(__xludf.DUMMYFUNCTION("""COMPUTED_VALUE"""),"10_MBLรองพื้นฟิตมีเฟรชทินท์05 5ml")</f>
        <v>10_MBLรองพื้นฟิตมีเฟรชทินท์05 5ml</v>
      </c>
      <c r="H401" s="7">
        <f>IFERROR(__xludf.DUMMYFUNCTION("""COMPUTED_VALUE"""),49.0)</f>
        <v>49</v>
      </c>
      <c r="I401" s="7"/>
      <c r="J401" s="5"/>
    </row>
    <row r="402" hidden="1">
      <c r="A402" s="5"/>
      <c r="B402" s="6" t="str">
        <f>IFERROR(__xludf.DUMMYFUNCTION("""COMPUTED_VALUE"""),"4210030111070301")</f>
        <v>4210030111070301</v>
      </c>
      <c r="C402" s="5" t="str">
        <f>IFERROR(__xludf.DUMMYFUNCTION("""COMPUTED_VALUE"""),"ผลิตภัณฑ์รองพื้น ชนิดครีม บรรจุหลอด ปริมาณ 15 กรัม ตรา เจ้านาง Radiance Skin Foundation SPF 30 PA+++")</f>
        <v>ผลิตภัณฑ์รองพื้น ชนิดครีม บรรจุหลอด ปริมาณ 15 กรัม ตรา เจ้านาง Radiance Skin Foundation SPF 30 PA+++</v>
      </c>
      <c r="D402" s="5"/>
      <c r="E402" s="5"/>
      <c r="F402" s="5">
        <f>IFERROR(__xludf.DUMMYFUNCTION("""COMPUTED_VALUE"""),8.859460200459E12)</f>
        <v>8859460200459</v>
      </c>
      <c r="G402" s="5" t="str">
        <f>IFERROR(__xludf.DUMMYFUNCTION("""COMPUTED_VALUE"""),"เจ้านางรองพื้นเรเดียนซ์สกินSPF30(02)15g")</f>
        <v>เจ้านางรองพื้นเรเดียนซ์สกินSPF30(02)15g</v>
      </c>
      <c r="H402" s="7">
        <f>IFERROR(__xludf.DUMMYFUNCTION("""COMPUTED_VALUE"""),179.0)</f>
        <v>179</v>
      </c>
      <c r="I402" s="7">
        <f>IFERROR(__xludf.DUMMYFUNCTION("""COMPUTED_VALUE"""),169.0)</f>
        <v>169</v>
      </c>
      <c r="J402" s="5"/>
    </row>
    <row r="403" hidden="1">
      <c r="A403" s="5"/>
      <c r="B403" s="6" t="str">
        <f>IFERROR(__xludf.DUMMYFUNCTION("""COMPUTED_VALUE"""),"4210030311010105")</f>
        <v>4210030311010105</v>
      </c>
      <c r="C403" s="5" t="str">
        <f>IFERROR(__xludf.DUMMYFUNCTION("""COMPUTED_VALUE"""),"ผลิตภัณฑ์รองพื้น ชนิดครีม บรรจุซอง ปริมาณ 5 มล. ตรา Maybelline Newyork รุ่น Super Stay Lumi-matte")</f>
        <v>ผลิตภัณฑ์รองพื้น ชนิดครีม บรรจุซอง ปริมาณ 5 มล. ตรา Maybelline Newyork รุ่น Super Stay Lumi-matte</v>
      </c>
      <c r="D403" s="5"/>
      <c r="E403" s="5"/>
      <c r="F403" s="5">
        <f>IFERROR(__xludf.DUMMYFUNCTION("""COMPUTED_VALUE"""),8.850434349648E12)</f>
        <v>8850434349648</v>
      </c>
      <c r="G403" s="5" t="str">
        <f>IFERROR(__xludf.DUMMYFUNCTION("""COMPUTED_VALUE"""),"MBLรองพื้นซุปเปอร์สเตย์ลูมิแมท(128)5ml")</f>
        <v>MBLรองพื้นซุปเปอร์สเตย์ลูมิแมท(128)5ml</v>
      </c>
      <c r="H403" s="7">
        <f>IFERROR(__xludf.DUMMYFUNCTION("""COMPUTED_VALUE"""),69.0)</f>
        <v>69</v>
      </c>
      <c r="I403" s="7">
        <f>IFERROR(__xludf.DUMMYFUNCTION("""COMPUTED_VALUE"""),17.0)</f>
        <v>17</v>
      </c>
      <c r="J403" s="5"/>
    </row>
    <row r="404">
      <c r="A404" s="5"/>
      <c r="B404" s="6" t="str">
        <f>IFERROR(__xludf.DUMMYFUNCTION("""COMPUTED_VALUE"""),"4210030311010701")</f>
        <v>4210030311010701</v>
      </c>
      <c r="C404" s="5" t="str">
        <f>IFERROR(__xludf.DUMMYFUNCTION("""COMPUTED_VALUE"""),"ผลิตภัณฑ์รองพื้น ชนิดครีม บรรจุซอง ปริมาณ 5 มล. ตรา MERREZ'CA สกินอัพ ลิควิดฟาวเดชั่น spf 50 PA+++#ไลท์เบจ")</f>
        <v>ผลิตภัณฑ์รองพื้น ชนิดครีม บรรจุซอง ปริมาณ 5 มล. ตรา MERREZ'CA สกินอัพ ลิควิดฟาวเดชั่น spf 50 PA+++#ไลท์เบจ</v>
      </c>
      <c r="D404" s="5"/>
      <c r="E404" s="5"/>
      <c r="F404" s="5">
        <f>IFERROR(__xludf.DUMMYFUNCTION("""COMPUTED_VALUE"""),8.8594337979E12)</f>
        <v>8859433797900</v>
      </c>
      <c r="G404" s="5" t="str">
        <f>IFERROR(__xludf.DUMMYFUNCTION("""COMPUTED_VALUE"""),"เมอร์เรซการองพื้นสกินอัพSPF50PA3+(02)5ml")</f>
        <v>เมอร์เรซการองพื้นสกินอัพSPF50PA3+(02)5ml</v>
      </c>
      <c r="H404" s="7">
        <f>IFERROR(__xludf.DUMMYFUNCTION("""COMPUTED_VALUE"""),59.0)</f>
        <v>59</v>
      </c>
      <c r="I404" s="7"/>
      <c r="J404" s="5"/>
    </row>
    <row r="405">
      <c r="A405" s="5"/>
      <c r="B405" s="6" t="str">
        <f>IFERROR(__xludf.DUMMYFUNCTION("""COMPUTED_VALUE"""),"4210030311010802")</f>
        <v>4210030311010802</v>
      </c>
      <c r="C405" s="5" t="str">
        <f>IFERROR(__xludf.DUMMYFUNCTION("""COMPUTED_VALUE"""),"ผลิตภัณฑ์รองพื้น ชนิดครีม บรรจุซอง ปริมาณ 5 มล. ตรา เจ้านาง รุ่น Radiance Skin Foundation")</f>
        <v>ผลิตภัณฑ์รองพื้น ชนิดครีม บรรจุซอง ปริมาณ 5 มล. ตรา เจ้านาง รุ่น Radiance Skin Foundation</v>
      </c>
      <c r="D405" s="5"/>
      <c r="E405" s="5"/>
      <c r="F405" s="5">
        <f>IFERROR(__xludf.DUMMYFUNCTION("""COMPUTED_VALUE"""),8.859460200374E12)</f>
        <v>8859460200374</v>
      </c>
      <c r="G405" s="5" t="str">
        <f>IFERROR(__xludf.DUMMYFUNCTION("""COMPUTED_VALUE"""),"เจ้านางเรเดียนซ์สกินฟาวเดชั่นSPF30(02)5g")</f>
        <v>เจ้านางเรเดียนซ์สกินฟาวเดชั่นSPF30(02)5g</v>
      </c>
      <c r="H405" s="7">
        <f>IFERROR(__xludf.DUMMYFUNCTION("""COMPUTED_VALUE"""),59.0)</f>
        <v>59</v>
      </c>
      <c r="I405" s="7"/>
      <c r="J405" s="5"/>
    </row>
    <row r="406">
      <c r="A406" s="5"/>
      <c r="B406" s="6" t="str">
        <f>IFERROR(__xludf.DUMMYFUNCTION("""COMPUTED_VALUE"""),"4210009111010335")</f>
        <v>4210009111010335</v>
      </c>
      <c r="C406" s="5" t="str">
        <f>IFERROR(__xludf.DUMMYFUNCTION("""COMPUTED_VALUE"""),"แปรงสีฟัน ขนแปรงทำด้วยไนล่อน สำหรับผู้ใหญ่\ ตรา ORAL-B รุ่น Pro Gum Care Ultrathin (โปรกัมแคร์อัลตร้าธิน)")</f>
        <v>แปรงสีฟัน ขนแปรงทำด้วยไนล่อน สำหรับผู้ใหญ่\ ตรา ORAL-B รุ่น Pro Gum Care Ultrathin (โปรกัมแคร์อัลตร้าธิน)</v>
      </c>
      <c r="D406" s="5"/>
      <c r="E406" s="5"/>
      <c r="F406" s="5">
        <f>IFERROR(__xludf.DUMMYFUNCTION("""COMPUTED_VALUE"""),4.902430677172E12)</f>
        <v>4902430677172</v>
      </c>
      <c r="G406" s="5" t="str">
        <f>IFERROR(__xludf.DUMMYFUNCTION("""COMPUTED_VALUE"""),"ออรัลบีแปรงสีฟันอัลตร้าธินโปรกัมแคร์")</f>
        <v>ออรัลบีแปรงสีฟันอัลตร้าธินโปรกัมแคร์</v>
      </c>
      <c r="H406" s="7">
        <f>IFERROR(__xludf.DUMMYFUNCTION("""COMPUTED_VALUE"""),65.0)</f>
        <v>65</v>
      </c>
      <c r="I406" s="7">
        <f>IFERROR(__xludf.DUMMYFUNCTION("""COMPUTED_VALUE"""),49.0)</f>
        <v>49</v>
      </c>
      <c r="J406" s="5"/>
    </row>
    <row r="407">
      <c r="A407" s="5"/>
      <c r="B407" s="6" t="str">
        <f>IFERROR(__xludf.DUMMYFUNCTION("""COMPUTED_VALUE"""),"4210009111010148")</f>
        <v>4210009111010148</v>
      </c>
      <c r="C407" s="5" t="str">
        <f>IFERROR(__xludf.DUMMYFUNCTION("""COMPUTED_VALUE"""),"แปรงสีฟัน ขนแปรงทำด้วยไนล่อน สำหรับผู้ใหญ่ ตรา คอลเกต รุ่น ซอล์ฟกัมคลีน (Gum Clean Soft)")</f>
        <v>แปรงสีฟัน ขนแปรงทำด้วยไนล่อน สำหรับผู้ใหญ่ ตรา คอลเกต รุ่น ซอล์ฟกัมคลีน (Gum Clean Soft)</v>
      </c>
      <c r="D407" s="5"/>
      <c r="E407" s="5"/>
      <c r="F407" s="5">
        <f>IFERROR(__xludf.DUMMYFUNCTION("""COMPUTED_VALUE"""),8.850006332498E12)</f>
        <v>8850006332498</v>
      </c>
      <c r="G407" s="5" t="str">
        <f>IFERROR(__xludf.DUMMYFUNCTION("""COMPUTED_VALUE"""),"คอลเกตแปรงสีฟันกัมคลีนเดี่ยว")</f>
        <v>คอลเกตแปรงสีฟันกัมคลีนเดี่ยว</v>
      </c>
      <c r="H407" s="7">
        <f>IFERROR(__xludf.DUMMYFUNCTION("""COMPUTED_VALUE"""),29.0)</f>
        <v>29</v>
      </c>
      <c r="I407" s="7"/>
      <c r="J407" s="5"/>
    </row>
    <row r="408">
      <c r="A408" s="5"/>
      <c r="B408" s="6" t="str">
        <f>IFERROR(__xludf.DUMMYFUNCTION("""COMPUTED_VALUE"""),"4210009111010145")</f>
        <v>4210009111010145</v>
      </c>
      <c r="C408" s="5" t="str">
        <f>IFERROR(__xludf.DUMMYFUNCTION("""COMPUTED_VALUE"""),"แปรงสีฟัน ขนแปรงทำด้วยไนล่อน สำหรับผู้ใหญ่ ตรา คอลเกต รุ่น สลิมซอล์ฟ อินบีทวีน คลีน ชาร์โคล")</f>
        <v>แปรงสีฟัน ขนแปรงทำด้วยไนล่อน สำหรับผู้ใหญ่ ตรา คอลเกต รุ่น สลิมซอล์ฟ อินบีทวีน คลีน ชาร์โคล</v>
      </c>
      <c r="D408" s="5"/>
      <c r="E408" s="5"/>
      <c r="F408" s="5">
        <f>IFERROR(__xludf.DUMMYFUNCTION("""COMPUTED_VALUE"""),8.850006332429E12)</f>
        <v>8850006332429</v>
      </c>
      <c r="G408" s="5" t="str">
        <f>IFERROR(__xludf.DUMMYFUNCTION("""COMPUTED_VALUE"""),"คอลเกตแปรงสีฟันสลิมซอฟท์อินบิทวีนชาร์โคล")</f>
        <v>คอลเกตแปรงสีฟันสลิมซอฟท์อินบิทวีนชาร์โคล</v>
      </c>
      <c r="H408" s="7">
        <f>IFERROR(__xludf.DUMMYFUNCTION("""COMPUTED_VALUE"""),35.0)</f>
        <v>35</v>
      </c>
      <c r="I408" s="7"/>
      <c r="J408" s="5"/>
    </row>
    <row r="409">
      <c r="A409" s="5"/>
      <c r="B409" s="6" t="str">
        <f>IFERROR(__xludf.DUMMYFUNCTION("""COMPUTED_VALUE"""),"4210009111012301")</f>
        <v>4210009111012301</v>
      </c>
      <c r="C409" s="5" t="str">
        <f>IFERROR(__xludf.DUMMYFUNCTION("""COMPUTED_VALUE"""),"แปรงสีฟัน ขนแปรงทำด้วยไนล่อน สำหรับผู้ใหญ่ \ตรา IMPAC SUPER DELUXE")</f>
        <v>แปรงสีฟัน ขนแปรงทำด้วยไนล่อน สำหรับผู้ใหญ่ \ตรา IMPAC SUPER DELUXE</v>
      </c>
      <c r="D409" s="5"/>
      <c r="E409" s="5"/>
      <c r="F409" s="5">
        <f>IFERROR(__xludf.DUMMYFUNCTION("""COMPUTED_VALUE"""),8.858970000177E12)</f>
        <v>8858970000177</v>
      </c>
      <c r="G409" s="5" t="str">
        <f>IFERROR(__xludf.DUMMYFUNCTION("""COMPUTED_VALUE"""),"อิมแพคแปรงสีฟันซุปเปอร์ดีลักซ์")</f>
        <v>อิมแพคแปรงสีฟันซุปเปอร์ดีลักซ์</v>
      </c>
      <c r="H409" s="7">
        <f>IFERROR(__xludf.DUMMYFUNCTION("""COMPUTED_VALUE"""),25.0)</f>
        <v>25</v>
      </c>
      <c r="I409" s="7"/>
      <c r="J409" s="5"/>
    </row>
    <row r="410">
      <c r="A410" s="5"/>
      <c r="B410" s="6" t="str">
        <f>IFERROR(__xludf.DUMMYFUNCTION("""COMPUTED_VALUE"""),"4210009111010144")</f>
        <v>4210009111010144</v>
      </c>
      <c r="C410" s="5" t="str">
        <f>IFERROR(__xludf.DUMMYFUNCTION("""COMPUTED_VALUE"""),"แปรงสีฟัน ขนแปรงทำด้วยไนล่อน สำหรับผู้ใหญ่ ตราคอลเกต ชาโคล สไปรัล")</f>
        <v>แปรงสีฟัน ขนแปรงทำด้วยไนล่อน สำหรับผู้ใหญ่ ตราคอลเกต ชาโคล สไปรัล</v>
      </c>
      <c r="D410" s="5"/>
      <c r="E410" s="5"/>
      <c r="F410" s="5">
        <f>IFERROR(__xludf.DUMMYFUNCTION("""COMPUTED_VALUE"""),8.850006332337E12)</f>
        <v>8850006332337</v>
      </c>
      <c r="G410" s="5" t="str">
        <f>IFERROR(__xludf.DUMMYFUNCTION("""COMPUTED_VALUE"""),"คอลเกตแปรงสีฟันสลิมซอฟท์ชาร์โคลสไปรัล")</f>
        <v>คอลเกตแปรงสีฟันสลิมซอฟท์ชาร์โคลสไปรัล</v>
      </c>
      <c r="H410" s="7">
        <f>IFERROR(__xludf.DUMMYFUNCTION("""COMPUTED_VALUE"""),89.0)</f>
        <v>89</v>
      </c>
      <c r="I410" s="7">
        <f>IFERROR(__xludf.DUMMYFUNCTION("""COMPUTED_VALUE"""),45.0)</f>
        <v>45</v>
      </c>
      <c r="J410" s="5"/>
    </row>
    <row r="411">
      <c r="A411" s="5"/>
      <c r="B411" s="6" t="str">
        <f>IFERROR(__xludf.DUMMYFUNCTION("""COMPUTED_VALUE"""),"4210009111010342")</f>
        <v>4210009111010342</v>
      </c>
      <c r="C411" s="5" t="str">
        <f>IFERROR(__xludf.DUMMYFUNCTION("""COMPUTED_VALUE"""),"แปรงสีฟัน ขนแปรงทำด้วยไนล่อน สำหรับผู้ใหญ่ \ ตรา ORAL-B รุ่น Sensitive Care")</f>
        <v>แปรงสีฟัน ขนแปรงทำด้วยไนล่อน สำหรับผู้ใหญ่ \ ตรา ORAL-B รุ่น Sensitive Care</v>
      </c>
      <c r="D411" s="5"/>
      <c r="E411" s="5"/>
      <c r="F411" s="5">
        <f>IFERROR(__xludf.DUMMYFUNCTION("""COMPUTED_VALUE"""),4.902430888325E12)</f>
        <v>4902430888325</v>
      </c>
      <c r="G411" s="5" t="str">
        <f>IFERROR(__xludf.DUMMYFUNCTION("""COMPUTED_VALUE"""),"ออรัลบีแปรงสีฟันเซนซีทีฟคลีน")</f>
        <v>ออรัลบีแปรงสีฟันเซนซีทีฟคลีน</v>
      </c>
      <c r="H411" s="7">
        <f>IFERROR(__xludf.DUMMYFUNCTION("""COMPUTED_VALUE"""),29.0)</f>
        <v>29</v>
      </c>
      <c r="I411" s="7"/>
      <c r="J411" s="5"/>
    </row>
    <row r="412">
      <c r="A412" s="5"/>
      <c r="B412" s="6" t="str">
        <f>IFERROR(__xludf.DUMMYFUNCTION("""COMPUTED_VALUE"""),"4210009111010334")</f>
        <v>4210009111010334</v>
      </c>
      <c r="C412" s="5" t="str">
        <f>IFERROR(__xludf.DUMMYFUNCTION("""COMPUTED_VALUE"""),"แปรงสีฟัน ขนแปรงทำด้วยไนล่อน สำหรับผู้ใหญ่\ ตรา ORAL-B รุ่น Soft &amp; Slim ซอฟท์แอนด์สลิม ขนแปรงนุ่มพิเศษ")</f>
        <v>แปรงสีฟัน ขนแปรงทำด้วยไนล่อน สำหรับผู้ใหญ่\ ตรา ORAL-B รุ่น Soft &amp; Slim ซอฟท์แอนด์สลิม ขนแปรงนุ่มพิเศษ</v>
      </c>
      <c r="D412" s="5"/>
      <c r="E412" s="5"/>
      <c r="F412" s="5">
        <f>IFERROR(__xludf.DUMMYFUNCTION("""COMPUTED_VALUE"""),4.98717603186E12)</f>
        <v>4987176031860</v>
      </c>
      <c r="G412" s="5" t="str">
        <f>IFERROR(__xludf.DUMMYFUNCTION("""COMPUTED_VALUE"""),"PM_ออรัลบีแปรงสีฟันซอฟท์แอนด์สลิม")</f>
        <v>PM_ออรัลบีแปรงสีฟันซอฟท์แอนด์สลิม</v>
      </c>
      <c r="H412" s="7">
        <f>IFERROR(__xludf.DUMMYFUNCTION("""COMPUTED_VALUE"""),65.0)</f>
        <v>65</v>
      </c>
      <c r="I412" s="7"/>
      <c r="J412" s="5"/>
    </row>
    <row r="413">
      <c r="A413" s="5"/>
      <c r="B413" s="6" t="str">
        <f>IFERROR(__xludf.DUMMYFUNCTION("""COMPUTED_VALUE"""),"4210009111010305")</f>
        <v>4210009111010305</v>
      </c>
      <c r="C413" s="5" t="str">
        <f>IFERROR(__xludf.DUMMYFUNCTION("""COMPUTED_VALUE"""),"แปรงสีฟัน ขนแปรงทำด้วยไนล่อน สำหรับผู้ใหญ่\ ตรา ORAL-B รุ่น Classic ซอฟท์")</f>
        <v>แปรงสีฟัน ขนแปรงทำด้วยไนล่อน สำหรับผู้ใหญ่\ ตรา ORAL-B รุ่น Classic ซอฟท์</v>
      </c>
      <c r="D413" s="5"/>
      <c r="E413" s="5"/>
      <c r="F413" s="5">
        <f>IFERROR(__xludf.DUMMYFUNCTION("""COMPUTED_VALUE"""),8.888826016557E12)</f>
        <v>8888826016557</v>
      </c>
      <c r="G413" s="5" t="str">
        <f>IFERROR(__xludf.DUMMYFUNCTION("""COMPUTED_VALUE"""),"ออรัลบีแปรงสีฟันคลาสสิคซอฟท์")</f>
        <v>ออรัลบีแปรงสีฟันคลาสสิคซอฟท์</v>
      </c>
      <c r="H413" s="7">
        <f>IFERROR(__xludf.DUMMYFUNCTION("""COMPUTED_VALUE"""),20.0)</f>
        <v>20</v>
      </c>
      <c r="I413" s="7"/>
      <c r="J413" s="5"/>
    </row>
    <row r="414">
      <c r="A414" s="5"/>
      <c r="B414" s="6" t="str">
        <f>IFERROR(__xludf.DUMMYFUNCTION("""COMPUTED_VALUE"""),"4210009111010307")</f>
        <v>4210009111010307</v>
      </c>
      <c r="C414" s="5" t="str">
        <f>IFERROR(__xludf.DUMMYFUNCTION("""COMPUTED_VALUE"""),"แปรงสีฟัน ขนแปรงทำด้วยไนล่อน สำหรับผู้ใหญ่\ ตรา ORAL-B รุ่น ชายน์นี่คลีน")</f>
        <v>แปรงสีฟัน ขนแปรงทำด้วยไนล่อน สำหรับผู้ใหญ่\ ตรา ORAL-B รุ่น ชายน์นี่คลีน</v>
      </c>
      <c r="D414" s="5"/>
      <c r="E414" s="5"/>
      <c r="F414" s="5">
        <f>IFERROR(__xludf.DUMMYFUNCTION("""COMPUTED_VALUE"""),3.014260786847E12)</f>
        <v>3014260786847</v>
      </c>
      <c r="G414" s="5" t="str">
        <f>IFERROR(__xludf.DUMMYFUNCTION("""COMPUTED_VALUE"""),"ออรัลบีแปรงสีฟันชายนี่คลีน")</f>
        <v>ออรัลบีแปรงสีฟันชายนี่คลีน</v>
      </c>
      <c r="H414" s="7">
        <f>IFERROR(__xludf.DUMMYFUNCTION("""COMPUTED_VALUE"""),15.0)</f>
        <v>15</v>
      </c>
      <c r="I414" s="7"/>
      <c r="J414" s="5"/>
    </row>
    <row r="415">
      <c r="A415" s="5"/>
      <c r="B415" s="6" t="str">
        <f>IFERROR(__xludf.DUMMYFUNCTION("""COMPUTED_VALUE"""),"4210009111012302")</f>
        <v>4210009111012302</v>
      </c>
      <c r="C415" s="5" t="str">
        <f>IFERROR(__xludf.DUMMYFUNCTION("""COMPUTED_VALUE"""),"แปรงสีฟัน ขนแปรงทำด้วยไนล่อน สำหรับผู้ใหญ่ \ตรา IMPAC Advance")</f>
        <v>แปรงสีฟัน ขนแปรงทำด้วยไนล่อน สำหรับผู้ใหญ่ \ตรา IMPAC Advance</v>
      </c>
      <c r="D415" s="5"/>
      <c r="E415" s="5"/>
      <c r="F415" s="5">
        <f>IFERROR(__xludf.DUMMYFUNCTION("""COMPUTED_VALUE"""),8.858970001587E12)</f>
        <v>8858970001587</v>
      </c>
      <c r="G415" s="5" t="str">
        <f>IFERROR(__xludf.DUMMYFUNCTION("""COMPUTED_VALUE"""),"PM_อิมแพคแปรงสีฟันแอดวานซ์ซอฟท์")</f>
        <v>PM_อิมแพคแปรงสีฟันแอดวานซ์ซอฟท์</v>
      </c>
      <c r="H415" s="7">
        <f>IFERROR(__xludf.DUMMYFUNCTION("""COMPUTED_VALUE"""),39.0)</f>
        <v>39</v>
      </c>
      <c r="I415" s="7"/>
      <c r="J415" s="5"/>
    </row>
    <row r="416">
      <c r="A416" s="5"/>
      <c r="B416" s="6" t="str">
        <f>IFERROR(__xludf.DUMMYFUNCTION("""COMPUTED_VALUE"""),"4210009111011422")</f>
        <v>4210009111011422</v>
      </c>
      <c r="C416" s="5" t="str">
        <f>IFERROR(__xludf.DUMMYFUNCTION("""COMPUTED_VALUE"""),"แปรงสีฟัน ขนแปรงทำด้วยไนล่อน สำหรับผู้ใหญ่ \ ตรา SYSTEMA รุ่น Original Soft &amp; slim นุ่มมาตรฐาน")</f>
        <v>แปรงสีฟัน ขนแปรงทำด้วยไนล่อน สำหรับผู้ใหญ่ \ ตรา SYSTEMA รุ่น Original Soft &amp; slim นุ่มมาตรฐาน</v>
      </c>
      <c r="D416" s="5"/>
      <c r="E416" s="5"/>
      <c r="F416" s="5">
        <f>IFERROR(__xludf.DUMMYFUNCTION("""COMPUTED_VALUE"""),8.850002013438E12)</f>
        <v>8850002013438</v>
      </c>
      <c r="G416" s="5" t="str">
        <f>IFERROR(__xludf.DUMMYFUNCTION("""COMPUTED_VALUE"""),"ซิสเท็มมาแปรงสีฟันนุ่มมาตรฐาน")</f>
        <v>ซิสเท็มมาแปรงสีฟันนุ่มมาตรฐาน</v>
      </c>
      <c r="H416" s="7">
        <f>IFERROR(__xludf.DUMMYFUNCTION("""COMPUTED_VALUE"""),63.0)</f>
        <v>63</v>
      </c>
      <c r="I416" s="7"/>
      <c r="J416" s="5"/>
    </row>
    <row r="417">
      <c r="A417" s="5"/>
      <c r="B417" s="6" t="str">
        <f>IFERROR(__xludf.DUMMYFUNCTION("""COMPUTED_VALUE"""),"4210009111011409")</f>
        <v>4210009111011409</v>
      </c>
      <c r="C417" s="5" t="str">
        <f>IFERROR(__xludf.DUMMYFUNCTION("""COMPUTED_VALUE"""),"แปรงสีฟัน ขนแปรงทำด้วยไนล่อน สำหรับผู้ใหญ่ \ ตรา SYSTEMA OD-M")</f>
        <v>แปรงสีฟัน ขนแปรงทำด้วยไนล่อน สำหรับผู้ใหญ่ \ ตรา SYSTEMA OD-M</v>
      </c>
      <c r="D417" s="5"/>
      <c r="E417" s="5"/>
      <c r="F417" s="5">
        <f>IFERROR(__xludf.DUMMYFUNCTION("""COMPUTED_VALUE"""),8.850002017283E12)</f>
        <v>8850002017283</v>
      </c>
      <c r="G417" s="5" t="str">
        <f>IFERROR(__xludf.DUMMYFUNCTION("""COMPUTED_VALUE"""),"ซิสเท็มมาแปรงสีฟันโอดี(เอ็ม)")</f>
        <v>ซิสเท็มมาแปรงสีฟันโอดี(เอ็ม)</v>
      </c>
      <c r="H417" s="7">
        <f>IFERROR(__xludf.DUMMYFUNCTION("""COMPUTED_VALUE"""),78.0)</f>
        <v>78</v>
      </c>
      <c r="I417" s="7"/>
      <c r="J417" s="5"/>
    </row>
    <row r="418">
      <c r="A418" s="5"/>
      <c r="B418" s="6" t="str">
        <f>IFERROR(__xludf.DUMMYFUNCTION("""COMPUTED_VALUE"""),"4210011211030101")</f>
        <v>4210011211030101</v>
      </c>
      <c r="C418" s="5" t="str">
        <f>IFERROR(__xludf.DUMMYFUNCTION("""COMPUTED_VALUE"""),"กระดาษชำระ ชนิดม้วน 3 ชั้น อ่อนนุ่ม บรรจุห่อพลาสติก \ จำนวน 24 ม้วน \ ตราสก็อตต์ รุ่น คลีนแคร์")</f>
        <v>กระดาษชำระ ชนิดม้วน 3 ชั้น อ่อนนุ่ม บรรจุห่อพลาสติก \ จำนวน 24 ม้วน \ ตราสก็อตต์ รุ่น คลีนแคร์</v>
      </c>
      <c r="D418" s="5"/>
      <c r="E418" s="5"/>
      <c r="F418" s="5">
        <f>IFERROR(__xludf.DUMMYFUNCTION("""COMPUTED_VALUE"""),8.888336024196E12)</f>
        <v>8888336024196</v>
      </c>
      <c r="G418" s="5" t="str">
        <f>IFERROR(__xludf.DUMMYFUNCTION("""COMPUTED_VALUE"""),"สก็อตกระดาษคลีนแคร์24ม้วน")</f>
        <v>สก็อตกระดาษคลีนแคร์24ม้วน</v>
      </c>
      <c r="H418" s="7">
        <f>IFERROR(__xludf.DUMMYFUNCTION("""COMPUTED_VALUE"""),315.0)</f>
        <v>315</v>
      </c>
      <c r="I418" s="7"/>
      <c r="J418" s="5"/>
    </row>
    <row r="419">
      <c r="A419" s="5"/>
      <c r="B419" s="6" t="str">
        <f>IFERROR(__xludf.DUMMYFUNCTION("""COMPUTED_VALUE"""),"4210011211030201")</f>
        <v>4210011211030201</v>
      </c>
      <c r="C419" s="5" t="str">
        <f>IFERROR(__xludf.DUMMYFUNCTION("""COMPUTED_VALUE"""),"กระดาษชำระ ชนิดม้วน 3 ชั้น อ่อนนุ่ม บรรจุห่อพลาสติก \ จำนวน 24 ม้วน \ ตราเซลล็อกซ์ รุ่นพรีเมียม พิวริฟาย (Premium Purify) ความยาวมาตรฐาน")</f>
        <v>กระดาษชำระ ชนิดม้วน 3 ชั้น อ่อนนุ่ม บรรจุห่อพลาสติก \ จำนวน 24 ม้วน \ ตราเซลล็อกซ์ รุ่นพรีเมียม พิวริฟาย (Premium Purify) ความยาวมาตรฐาน</v>
      </c>
      <c r="D419" s="5"/>
      <c r="E419" s="5"/>
      <c r="F419" s="5">
        <f>IFERROR(__xludf.DUMMYFUNCTION("""COMPUTED_VALUE"""),8.85004617724E12)</f>
        <v>8850046177240</v>
      </c>
      <c r="G419" s="5" t="str">
        <f>IFERROR(__xludf.DUMMYFUNCTION("""COMPUTED_VALUE"""),"PM_เซลล็อกซ์กระดาษพิวริฟายพรี่เมี่ยม24")</f>
        <v>PM_เซลล็อกซ์กระดาษพิวริฟายพรี่เมี่ยม24</v>
      </c>
      <c r="H419" s="7">
        <f>IFERROR(__xludf.DUMMYFUNCTION("""COMPUTED_VALUE"""),309.0)</f>
        <v>309</v>
      </c>
      <c r="I419" s="7"/>
      <c r="J419" s="5"/>
    </row>
    <row r="420">
      <c r="A420" s="5"/>
      <c r="B420" s="6" t="str">
        <f>IFERROR(__xludf.DUMMYFUNCTION("""COMPUTED_VALUE"""),"4210011111020207")</f>
        <v>4210011111020207</v>
      </c>
      <c r="C420" s="5" t="str">
        <f>IFERROR(__xludf.DUMMYFUNCTION("""COMPUTED_VALUE"""),"กระดาษชำระ ชนิดม้วน 3 ชั้น อ่อนนุ่ม บรรจุห่อพลาสติก \จำนวน 1 ม้วน\ ตรา สก๊อตต์ รุ่น Clean Care")</f>
        <v>กระดาษชำระ ชนิดม้วน 3 ชั้น อ่อนนุ่ม บรรจุห่อพลาสติก \จำนวน 1 ม้วน\ ตรา สก๊อตต์ รุ่น Clean Care</v>
      </c>
      <c r="D420" s="5"/>
      <c r="E420" s="5"/>
      <c r="F420" s="5">
        <f>IFERROR(__xludf.DUMMYFUNCTION("""COMPUTED_VALUE"""),8.888336024134E12)</f>
        <v>8888336024134</v>
      </c>
      <c r="G420" s="5" t="str">
        <f>IFERROR(__xludf.DUMMYFUNCTION("""COMPUTED_VALUE"""),"สก็อตต์กระดาษคลีนแคร์1ม้วน")</f>
        <v>สก็อตต์กระดาษคลีนแคร์1ม้วน</v>
      </c>
      <c r="H420" s="7">
        <f>IFERROR(__xludf.DUMMYFUNCTION("""COMPUTED_VALUE"""),19.0)</f>
        <v>19</v>
      </c>
      <c r="I420" s="7"/>
      <c r="J420" s="5"/>
    </row>
    <row r="421">
      <c r="A421" s="5"/>
      <c r="B421" s="6" t="str">
        <f>IFERROR(__xludf.DUMMYFUNCTION("""COMPUTED_VALUE"""),"4210011121012301")</f>
        <v>4210011121012301</v>
      </c>
      <c r="C421" s="5" t="str">
        <f>IFERROR(__xludf.DUMMYFUNCTION("""COMPUTED_VALUE"""),"กระดาษชำระ ชนิดม้วน 2 ชั้น หยาบ บรรจุห่อพลาสติก \ จำนวน 6 ม้วน\ ตรา ไนซ์")</f>
        <v>กระดาษชำระ ชนิดม้วน 2 ชั้น หยาบ บรรจุห่อพลาสติก \ จำนวน 6 ม้วน\ ตรา ไนซ์</v>
      </c>
      <c r="D421" s="5"/>
      <c r="E421" s="5"/>
      <c r="F421" s="5">
        <f>IFERROR(__xludf.DUMMYFUNCTION("""COMPUTED_VALUE"""),8.859411300788E12)</f>
        <v>8859411300788</v>
      </c>
      <c r="G421" s="5" t="str">
        <f>IFERROR(__xludf.DUMMYFUNCTION("""COMPUTED_VALUE"""),"PM_ไนซ์กระดาษ15.8m6+2ม้วน")</f>
        <v>PM_ไนซ์กระดาษ15.8m6+2ม้วน</v>
      </c>
      <c r="H421" s="7">
        <f>IFERROR(__xludf.DUMMYFUNCTION("""COMPUTED_VALUE"""),79.0)</f>
        <v>79</v>
      </c>
      <c r="I421" s="7"/>
      <c r="J421" s="5"/>
    </row>
    <row r="422">
      <c r="A422" s="5"/>
      <c r="B422" s="6" t="str">
        <f>IFERROR(__xludf.DUMMYFUNCTION("""COMPUTED_VALUE"""),"4210011121020801")</f>
        <v>4210011121020801</v>
      </c>
      <c r="C422" s="5" t="str">
        <f>IFERROR(__xludf.DUMMYFUNCTION("""COMPUTED_VALUE"""),"กระดาษชำระ ชนิดม้วน 2ชั้น หยาบ บรรจุห่อพลาสติก\ จำนวน 1 ม้วน \ ตรา Zilk kotton roll tissue")</f>
        <v>กระดาษชำระ ชนิดม้วน 2ชั้น หยาบ บรรจุห่อพลาสติก\ จำนวน 1 ม้วน \ ตรา Zilk kotton roll tissue</v>
      </c>
      <c r="D422" s="5"/>
      <c r="E422" s="5"/>
      <c r="F422" s="5">
        <f>IFERROR(__xludf.DUMMYFUNCTION("""COMPUTED_VALUE"""),8.850046100019E12)</f>
        <v>8850046100019</v>
      </c>
      <c r="G422" s="5" t="str">
        <f>IFERROR(__xludf.DUMMYFUNCTION("""COMPUTED_VALUE"""),"PM_ซิลค์กระดาษคอตตอน1ม้วน")</f>
        <v>PM_ซิลค์กระดาษคอตตอน1ม้วน</v>
      </c>
      <c r="H422" s="7">
        <f>IFERROR(__xludf.DUMMYFUNCTION("""COMPUTED_VALUE"""),9.0)</f>
        <v>9</v>
      </c>
      <c r="I422" s="7"/>
      <c r="J422" s="5"/>
    </row>
    <row r="423">
      <c r="A423" s="5"/>
      <c r="B423" s="6" t="str">
        <f>IFERROR(__xludf.DUMMYFUNCTION("""COMPUTED_VALUE"""),"4210011211030301")</f>
        <v>4210011211030301</v>
      </c>
      <c r="C423" s="5" t="str">
        <f>IFERROR(__xludf.DUMMYFUNCTION("""COMPUTED_VALUE"""),"กระดาษชำระ ชนิดม้วน 3 ชั้น อ่อนนุ่ม บรรจุห่อพลาสติก \ จำนวน 24 ม้วน \ ตรา พาซิโอ (Paseo) เดอร์มา แคร์ (Derma Care) ม้วนใหญ่พิเศษ 2XL")</f>
        <v>กระดาษชำระ ชนิดม้วน 3 ชั้น อ่อนนุ่ม บรรจุห่อพลาสติก \ จำนวน 24 ม้วน \ ตรา พาซิโอ (Paseo) เดอร์มา แคร์ (Derma Care) ม้วนใหญ่พิเศษ 2XL</v>
      </c>
      <c r="D423" s="5"/>
      <c r="E423" s="5"/>
      <c r="F423" s="5">
        <f>IFERROR(__xludf.DUMMYFUNCTION("""COMPUTED_VALUE"""),8.859411301693E12)</f>
        <v>8859411301693</v>
      </c>
      <c r="G423" s="5" t="str">
        <f>IFERROR(__xludf.DUMMYFUNCTION("""COMPUTED_VALUE"""),"พาชิโอกระดาษทิชชู่เดอร์มาแคร์2XL24ม้วน")</f>
        <v>พาชิโอกระดาษทิชชู่เดอร์มาแคร์2XL24ม้วน</v>
      </c>
      <c r="H423" s="7">
        <f>IFERROR(__xludf.DUMMYFUNCTION("""COMPUTED_VALUE"""),369.0)</f>
        <v>369</v>
      </c>
      <c r="I423" s="7"/>
      <c r="J423" s="5"/>
    </row>
    <row r="424">
      <c r="A424" s="5"/>
      <c r="B424" s="6" t="str">
        <f>IFERROR(__xludf.DUMMYFUNCTION("""COMPUTED_VALUE"""),"4210011111010134")</f>
        <v>4210011111010134</v>
      </c>
      <c r="C424" s="5" t="str">
        <f>IFERROR(__xludf.DUMMYFUNCTION("""COMPUTED_VALUE"""),"กระดาษชำระ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 3 เท่า ซึมซับดีไม่ทิ้งขุยแม้เปียกน้ำ เหนียวกว่า 30%")</f>
        <v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 3 เท่า ซึมซับดีไม่ทิ้งขุยแม้เปียกน้ำ เหนียวกว่า 30%</v>
      </c>
      <c r="D424" s="5"/>
      <c r="E424" s="5"/>
      <c r="F424" s="5">
        <f>IFERROR(__xludf.DUMMYFUNCTION("""COMPUTED_VALUE"""),8.850039204021E12)</f>
        <v>8850039204021</v>
      </c>
      <c r="G424" s="5" t="str">
        <f>IFERROR(__xludf.DUMMYFUNCTION("""COMPUTED_VALUE"""),"สก็อตต์กระดาษเอ็กซ์ตร้ายาว3เท่า6ม้วน")</f>
        <v>สก็อตต์กระดาษเอ็กซ์ตร้ายาว3เท่า6ม้วน</v>
      </c>
      <c r="H424" s="7">
        <f>IFERROR(__xludf.DUMMYFUNCTION("""COMPUTED_VALUE"""),115.0)</f>
        <v>115</v>
      </c>
      <c r="I424" s="7">
        <f>IFERROR(__xludf.DUMMYFUNCTION("""COMPUTED_VALUE"""),105.0)</f>
        <v>105</v>
      </c>
      <c r="J424" s="5"/>
    </row>
    <row r="425">
      <c r="A425" s="5"/>
      <c r="B425" s="6" t="str">
        <f>IFERROR(__xludf.DUMMYFUNCTION("""COMPUTED_VALUE"""),"4210011211010209")</f>
        <v>4210011211010209</v>
      </c>
      <c r="C425" s="5" t="str">
        <f>IFERROR(__xludf.DUMMYFUNCTION("""COMPUTED_VALUE"""),"กระดาษชำระ ชนิดม้วน 2 ชั้น เหนียวนุ่ม บรรจุห่อพลาสติก \ จำนวน 6 ม้วน \ ตราเซลล็อกส์ หนา 2 ชั้น ยาว 3 เท่า เหนียวนุ่ม 2.5 เท่า ไม่เป็นขุย")</f>
        <v>กระดาษชำระ ชนิดม้วน 2 ชั้น เหนียวนุ่ม บรรจุห่อพลาสติก \ จำนวน 6 ม้วน \ ตราเซลล็อกส์ หนา 2 ชั้น ยาว 3 เท่า เหนียวนุ่ม 2.5 เท่า ไม่เป็นขุย</v>
      </c>
      <c r="D425" s="5"/>
      <c r="E425" s="5"/>
      <c r="F425" s="5">
        <f>IFERROR(__xludf.DUMMYFUNCTION("""COMPUTED_VALUE"""),8.850046015023E12)</f>
        <v>8850046015023</v>
      </c>
      <c r="G425" s="5" t="str">
        <f>IFERROR(__xludf.DUMMYFUNCTION("""COMPUTED_VALUE"""),"50_เซลล็อกซ์กระดาษไจแอนท์โรล6ม้วน")</f>
        <v>50_เซลล็อกซ์กระดาษไจแอนท์โรล6ม้วน</v>
      </c>
      <c r="H425" s="7">
        <f>IFERROR(__xludf.DUMMYFUNCTION("""COMPUTED_VALUE"""),113.0)</f>
        <v>113</v>
      </c>
      <c r="I425" s="7"/>
      <c r="J425" s="5"/>
    </row>
    <row r="426">
      <c r="A426" s="5"/>
      <c r="B426" s="6" t="str">
        <f>IFERROR(__xludf.DUMMYFUNCTION("""COMPUTED_VALUE"""),"4210011111050301")</f>
        <v>4210011111050301</v>
      </c>
      <c r="C426" s="5" t="str">
        <f>IFERROR(__xludf.DUMMYFUNCTION("""COMPUTED_VALUE"""),"กระดาษชำระ ชนิดม้วน 2 ชั้น อ่อนนุ่ม บรรจุห่อพลาสติก \ จำนวน 24 ม้วน \ ตรา ซิลค์ (Zilk) คอตตอน (Kotton)")</f>
        <v>กระดาษชำระ ชนิดม้วน 2 ชั้น อ่อนนุ่ม บรรจุห่อพลาสติก \ จำนวน 24 ม้วน \ ตรา ซิลค์ (Zilk) คอตตอน (Kotton)</v>
      </c>
      <c r="D426" s="5"/>
      <c r="E426" s="5"/>
      <c r="F426" s="5">
        <f>IFERROR(__xludf.DUMMYFUNCTION("""COMPUTED_VALUE"""),8.850046100088E12)</f>
        <v>8850046100088</v>
      </c>
      <c r="G426" s="5" t="str">
        <f>IFERROR(__xludf.DUMMYFUNCTION("""COMPUTED_VALUE"""),"PM_ซิลค์กระดาษคอตตอน24ม้วน")</f>
        <v>PM_ซิลค์กระดาษคอตตอน24ม้วน</v>
      </c>
      <c r="H426" s="7">
        <f>IFERROR(__xludf.DUMMYFUNCTION("""COMPUTED_VALUE"""),145.0)</f>
        <v>145</v>
      </c>
      <c r="I426" s="7"/>
      <c r="J426" s="5"/>
    </row>
    <row r="427">
      <c r="A427" s="5"/>
      <c r="B427" s="6" t="str">
        <f>IFERROR(__xludf.DUMMYFUNCTION("""COMPUTED_VALUE"""),"4210011111020203")</f>
        <v>4210011111020203</v>
      </c>
      <c r="C427" s="5" t="str">
        <f>IFERROR(__xludf.DUMMYFUNCTION("""COMPUTED_VALUE"""),"กระดาษชำระ ชนิดม้วน 2 ชั้น อ่อนนุ่ม บรรจุห่อพลาสติก \จำนวน 1 ม้วน\ ตรา สก๊อตต์ รุ่น select")</f>
        <v>กระดาษชำระ ชนิดม้วน 2 ชั้น อ่อนนุ่ม บรรจุห่อพลาสติก \จำนวน 1 ม้วน\ ตรา สก๊อตต์ รุ่น select</v>
      </c>
      <c r="D427" s="5"/>
      <c r="E427" s="5"/>
      <c r="F427" s="5">
        <f>IFERROR(__xludf.DUMMYFUNCTION("""COMPUTED_VALUE"""),8.850039203161E12)</f>
        <v>8850039203161</v>
      </c>
      <c r="G427" s="5" t="str">
        <f>IFERROR(__xludf.DUMMYFUNCTION("""COMPUTED_VALUE"""),"สก็อตต์กระดาษซีเลคมาตราฐาน1ม้วน")</f>
        <v>สก็อตต์กระดาษซีเลคมาตราฐาน1ม้วน</v>
      </c>
      <c r="H427" s="7">
        <f>IFERROR(__xludf.DUMMYFUNCTION("""COMPUTED_VALUE"""),8.0)</f>
        <v>8</v>
      </c>
      <c r="I427" s="7"/>
      <c r="J427" s="5"/>
    </row>
    <row r="428">
      <c r="A428" s="5"/>
      <c r="B428" s="6" t="str">
        <f>IFERROR(__xludf.DUMMYFUNCTION("""COMPUTED_VALUE"""),"4210011111020206")</f>
        <v>4210011111020206</v>
      </c>
      <c r="C428" s="5" t="str">
        <f>IFERROR(__xludf.DUMMYFUNCTION("""COMPUTED_VALUE"""),"กระดาษชำระ ชนิดม้วน 2 ชั้น อ่อนนุ่ม บรรจุห่อพลาสติก \จำนวน 1 ม้วน\ ตรา สก๊อตต์ รุ่น Extra Big Roll (ความยาวพิเศษ)")</f>
        <v>กระดาษชำระ ชนิดม้วน 2 ชั้น อ่อนนุ่ม บรรจุห่อพลาสติก \จำนวน 1 ม้วน\ ตรา สก๊อตต์ รุ่น Extra Big Roll (ความยาวพิเศษ)</v>
      </c>
      <c r="D428" s="5"/>
      <c r="E428" s="5"/>
      <c r="F428" s="5">
        <f>IFERROR(__xludf.DUMMYFUNCTION("""COMPUTED_VALUE"""),8.850033000001E12)</f>
        <v>8850033000001</v>
      </c>
      <c r="G428" s="5" t="str">
        <f>IFERROR(__xludf.DUMMYFUNCTION("""COMPUTED_VALUE"""),"สก็อตต์กระดาษเอ็กซ์ตร้ายาวพิเศษ1ม้วน")</f>
        <v>สก็อตต์กระดาษเอ็กซ์ตร้ายาวพิเศษ1ม้วน</v>
      </c>
      <c r="H428" s="7">
        <f>IFERROR(__xludf.DUMMYFUNCTION("""COMPUTED_VALUE"""),16.0)</f>
        <v>16</v>
      </c>
      <c r="I428" s="7"/>
      <c r="J428" s="5"/>
    </row>
    <row r="429">
      <c r="A429" s="5"/>
      <c r="B429" s="6" t="str">
        <f>IFERROR(__xludf.DUMMYFUNCTION("""COMPUTED_VALUE"""),"4210011111040103")</f>
        <v>4210011111040103</v>
      </c>
      <c r="C429" s="5" t="str">
        <f>IFERROR(__xludf.DUMMYFUNCTION("""COMPUTED_VALUE"""),"กระดาษชำระ ชนิดม้วน 2 ชั้น อ่อนนุ่ม บรรจุห่อพลาสติก \จำนวน 12 ม้วน\ ตราสก๊อต รุ่น EXTRA ความยาวสองเท่า (Double Roll)")</f>
        <v>กระดาษชำระ ชนิดม้วน 2 ชั้น อ่อนนุ่ม บรรจุห่อพลาสติก \จำนวน 12 ม้วน\ ตราสก๊อต รุ่น EXTRA ความยาวสองเท่า (Double Roll)</v>
      </c>
      <c r="D429" s="5"/>
      <c r="E429" s="5"/>
      <c r="F429" s="5">
        <f>IFERROR(__xludf.DUMMYFUNCTION("""COMPUTED_VALUE"""),8.85003920412E12)</f>
        <v>8850039204120</v>
      </c>
      <c r="G429" s="5" t="str">
        <f>IFERROR(__xludf.DUMMYFUNCTION("""COMPUTED_VALUE"""),"CP2_สก็อตต์เอ็กซ์ตร้ายาว2เท่า12ม้วน")</f>
        <v>CP2_สก็อตต์เอ็กซ์ตร้ายาว2เท่า12ม้วน</v>
      </c>
      <c r="H429" s="7"/>
      <c r="I429" s="7"/>
      <c r="J429" s="5"/>
    </row>
    <row r="430">
      <c r="A430" s="5"/>
      <c r="B430" s="6" t="str">
        <f>IFERROR(__xludf.DUMMYFUNCTION("""COMPUTED_VALUE"""),"4210011111050401")</f>
        <v>4210011111050401</v>
      </c>
      <c r="C430" s="5" t="str">
        <f>IFERROR(__xludf.DUMMYFUNCTION("""COMPUTED_VALUE"""),"กระดาษชำระ ชนิดม้วน 2 ชั้น อ่อนนุ่ม บรรจุห่อพลาสติก \ จำนวน 24 ม้วน \ ตรา สก๊อตต์ (Scott) Extra รุ่นอัพเกรด ความยาวพิเศษ (Big Roll)")</f>
        <v>กระดาษชำระ ชนิดม้วน 2 ชั้น อ่อนนุ่ม บรรจุห่อพลาสติก \ จำนวน 24 ม้วน \ ตรา สก๊อตต์ (Scott) Extra รุ่นอัพเกรด ความยาวพิเศษ (Big Roll)</v>
      </c>
      <c r="D430" s="5"/>
      <c r="E430" s="5"/>
      <c r="F430" s="5">
        <f>IFERROR(__xludf.DUMMYFUNCTION("""COMPUTED_VALUE"""),8.850039100248E12)</f>
        <v>8850039100248</v>
      </c>
      <c r="G430" s="5" t="str">
        <f>IFERROR(__xludf.DUMMYFUNCTION("""COMPUTED_VALUE"""),"สก็อตต์กระดาษเอ็กซ์ตร้าบิ๊กโรล24ม้วน")</f>
        <v>สก็อตต์กระดาษเอ็กซ์ตร้าบิ๊กโรล24ม้วน</v>
      </c>
      <c r="H430" s="7">
        <f>IFERROR(__xludf.DUMMYFUNCTION("""COMPUTED_VALUE"""),261.0)</f>
        <v>261</v>
      </c>
      <c r="I430" s="7"/>
      <c r="J430" s="5"/>
    </row>
    <row r="431">
      <c r="A431" s="5"/>
      <c r="B431" s="6" t="str">
        <f>IFERROR(__xludf.DUMMYFUNCTION("""COMPUTED_VALUE"""),"4210011111060101")</f>
        <v>4210011111060101</v>
      </c>
      <c r="C431" s="5" t="str">
        <f>IFERROR(__xludf.DUMMYFUNCTION("""COMPUTED_VALUE"""),"กระดาษชำระ ชนิดม้วน 2 ชั้น อ่อนนุ่ม บรรจุห่อพลาสติก \จำนวน 32 ม้วน\ ตรา ซิลค์ (Zilk) คอตตอน (Kotton)")</f>
        <v>กระดาษชำระ ชนิดม้วน 2 ชั้น อ่อนนุ่ม บรรจุห่อพลาสติก \จำนวน 32 ม้วน\ ตรา ซิลค์ (Zilk) คอตตอน (Kotton)</v>
      </c>
      <c r="D431" s="5"/>
      <c r="E431" s="5"/>
      <c r="F431" s="5">
        <f>IFERROR(__xludf.DUMMYFUNCTION("""COMPUTED_VALUE"""),8.850046110032E12)</f>
        <v>8850046110032</v>
      </c>
      <c r="G431" s="5" t="str">
        <f>IFERROR(__xludf.DUMMYFUNCTION("""COMPUTED_VALUE"""),"ซิลค์กระดาษทิชชู่คอตตอน32ม้วน")</f>
        <v>ซิลค์กระดาษทิชชู่คอตตอน32ม้วน</v>
      </c>
      <c r="H431" s="7">
        <f>IFERROR(__xludf.DUMMYFUNCTION("""COMPUTED_VALUE"""),185.0)</f>
        <v>185</v>
      </c>
      <c r="I431" s="7"/>
      <c r="J431" s="5"/>
    </row>
    <row r="432">
      <c r="A432" s="5"/>
      <c r="B432" s="6" t="str">
        <f>IFERROR(__xludf.DUMMYFUNCTION("""COMPUTED_VALUE"""),"4210012115030101")</f>
        <v>4210012115030101</v>
      </c>
      <c r="C432" s="5" t="str">
        <f>IFERROR(__xludf.DUMMYFUNCTION("""COMPUTED_VALUE"""),"ครีมนวดผม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(คละสี/สูตร)")</f>
        <v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v>
      </c>
      <c r="D432" s="5"/>
      <c r="E432" s="5"/>
      <c r="F432" s="5">
        <f>IFERROR(__xludf.DUMMYFUNCTION("""COMPUTED_VALUE"""),4.902430413046E12)</f>
        <v>4902430413046</v>
      </c>
      <c r="G432" s="5" t="str">
        <f>IFERROR(__xludf.DUMMYFUNCTION("""COMPUTED_VALUE"""),"แพนทีนครีมนวดแฮร์ฟอลคอนโทล340ml")</f>
        <v>แพนทีนครีมนวดแฮร์ฟอลคอนโทล340ml</v>
      </c>
      <c r="H432" s="7">
        <f>IFERROR(__xludf.DUMMYFUNCTION("""COMPUTED_VALUE"""),189.0)</f>
        <v>189</v>
      </c>
      <c r="I432" s="7">
        <f>IFERROR(__xludf.DUMMYFUNCTION("""COMPUTED_VALUE"""),149.0)</f>
        <v>149</v>
      </c>
      <c r="J432" s="5"/>
    </row>
    <row r="433">
      <c r="A433" s="5"/>
      <c r="B433" s="6" t="str">
        <f>IFERROR(__xludf.DUMMYFUNCTION("""COMPUTED_VALUE"""),"4210012115020180")</f>
        <v>4210012115020180</v>
      </c>
      <c r="C433" s="5" t="str">
        <f>IFERROR(__xludf.DUMMYFUNCTION("""COMPUTED_VALUE"""),"ครีมนวดผม ชนิดครีม บรรจุขวด(ขวดชนิดมีหัวกด) \ ขนาด 370 ม.ล.\ ตรา Rejoice 3 in 1 (คละสี/สูตร)")</f>
        <v>ครีมนวดผม ชนิดครีม บรรจุขวด(ขวดชนิดมีหัวกด) \ ขนาด 370 ม.ล.\ ตรา Rejoice 3 in 1 (คละสี/สูตร)</v>
      </c>
      <c r="D433" s="5"/>
      <c r="E433" s="5"/>
      <c r="F433" s="5">
        <f>IFERROR(__xludf.DUMMYFUNCTION("""COMPUTED_VALUE"""),4.902430339346E12)</f>
        <v>4902430339346</v>
      </c>
      <c r="G433" s="5" t="str">
        <f>IFERROR(__xludf.DUMMYFUNCTION("""COMPUTED_VALUE"""),"รีจอยส์ครีมนวดลองแอนด์สเทรท370ml")</f>
        <v>รีจอยส์ครีมนวดลองแอนด์สเทรท370ml</v>
      </c>
      <c r="H433" s="7">
        <f>IFERROR(__xludf.DUMMYFUNCTION("""COMPUTED_VALUE"""),165.0)</f>
        <v>165</v>
      </c>
      <c r="I433" s="7"/>
      <c r="J433" s="5"/>
    </row>
    <row r="434">
      <c r="A434" s="5"/>
      <c r="B434" s="6" t="str">
        <f>IFERROR(__xludf.DUMMYFUNCTION("""COMPUTED_VALUE"""),"4210012112290101")</f>
        <v>4210012112290101</v>
      </c>
      <c r="C434" s="5" t="str">
        <f>IFERROR(__xludf.DUMMYFUNCTION("""COMPUTED_VALUE"""),"ครีมนวดผม ชนิด ครีม บรรจุหลอด \ ขนาด 330 มล. \ ตราโดฟ (Dove) สูตร Amino Bond Repair (สีทอง)")</f>
        <v>ครีมนวดผม ชนิด ครีม บรรจุหลอด \ ขนาด 330 มล. \ ตราโดฟ (Dove) สูตร Amino Bond Repair (สีทอง)</v>
      </c>
      <c r="D434" s="5"/>
      <c r="E434" s="5"/>
      <c r="F434" s="5">
        <f>IFERROR(__xludf.DUMMYFUNCTION("""COMPUTED_VALUE"""),8.851932479738E12)</f>
        <v>8851932479738</v>
      </c>
      <c r="G434" s="5" t="str">
        <f>IFERROR(__xludf.DUMMYFUNCTION("""COMPUTED_VALUE"""),"โดฟครีมนวดบอนด์รีแพร์330ml")</f>
        <v>โดฟครีมนวดบอนด์รีแพร์330ml</v>
      </c>
      <c r="H434" s="7">
        <f>IFERROR(__xludf.DUMMYFUNCTION("""COMPUTED_VALUE"""),199.0)</f>
        <v>199</v>
      </c>
      <c r="I434" s="7"/>
      <c r="J434" s="5"/>
    </row>
    <row r="435">
      <c r="A435" s="5"/>
      <c r="B435" s="6" t="str">
        <f>IFERROR(__xludf.DUMMYFUNCTION("""COMPUTED_VALUE"""),"4210012112290101")</f>
        <v>4210012112290101</v>
      </c>
      <c r="C435" s="5" t="str">
        <f>IFERROR(__xludf.DUMMYFUNCTION("""COMPUTED_VALUE"""),"ครีมนวดผม ชนิด ครีม บรรจุหลอด \ ขนาด 330 มล. \ ตราโดฟ (Dove) สูตร Amino Bond Repair (สีทอง)")</f>
        <v>ครีมนวดผม ชนิด ครีม บรรจุหลอด \ ขนาด 330 มล. \ ตราโดฟ (Dove) สูตร Amino Bond Repair (สีทอง)</v>
      </c>
      <c r="D435" s="5"/>
      <c r="E435" s="5"/>
      <c r="F435" s="5">
        <f>IFERROR(__xludf.DUMMYFUNCTION("""COMPUTED_VALUE"""),8.851932481687E12)</f>
        <v>8851932481687</v>
      </c>
      <c r="G435" s="5" t="str">
        <f>IFERROR(__xludf.DUMMYFUNCTION("""COMPUTED_VALUE"""),"โดฟครีมนวดแอนตี้แฮร์ฟอลม่วง350ml")</f>
        <v>โดฟครีมนวดแอนตี้แฮร์ฟอลม่วง350ml</v>
      </c>
      <c r="H435" s="7">
        <f>IFERROR(__xludf.DUMMYFUNCTION("""COMPUTED_VALUE"""),189.0)</f>
        <v>189</v>
      </c>
      <c r="I435" s="7"/>
      <c r="J435" s="5"/>
    </row>
    <row r="436">
      <c r="A436" s="5"/>
      <c r="B436" s="6" t="str">
        <f>IFERROR(__xludf.DUMMYFUNCTION("""COMPUTED_VALUE"""),"4210012112280101")</f>
        <v>4210012112280101</v>
      </c>
      <c r="C436" s="5" t="str">
        <f>IFERROR(__xludf.DUMMYFUNCTION("""COMPUTED_VALUE"""),"ครีมนวดผม ชนิด ครีม บรรจุหลอด \ ขนาด 350 มล. \ ตราโดฟ (Dove) สูตร Peptide Intense Repair")</f>
        <v>ครีมนวดผม ชนิด ครีม บรรจุหลอด \ ขนาด 350 มล. \ ตราโดฟ (Dove) สูตร Peptide Intense Repair</v>
      </c>
      <c r="D436" s="5"/>
      <c r="E436" s="5"/>
      <c r="F436" s="5">
        <f>IFERROR(__xludf.DUMMYFUNCTION("""COMPUTED_VALUE"""),8.851932481625E12)</f>
        <v>8851932481625</v>
      </c>
      <c r="G436" s="5" t="str">
        <f>IFERROR(__xludf.DUMMYFUNCTION("""COMPUTED_VALUE"""),"โดฟครีมนวดเพปไทด์น้ำเงิน350ml")</f>
        <v>โดฟครีมนวดเพปไทด์น้ำเงิน350ml</v>
      </c>
      <c r="H436" s="7">
        <f>IFERROR(__xludf.DUMMYFUNCTION("""COMPUTED_VALUE"""),189.0)</f>
        <v>189</v>
      </c>
      <c r="I436" s="7"/>
      <c r="J436" s="5"/>
    </row>
    <row r="437">
      <c r="A437" s="5"/>
      <c r="B437" s="6" t="str">
        <f>IFERROR(__xludf.DUMMYFUNCTION("""COMPUTED_VALUE"""),"4210012112290201")</f>
        <v>4210012112290201</v>
      </c>
      <c r="C437" s="5" t="str">
        <f>IFERROR(__xludf.DUMMYFUNCTION("""COMPUTED_VALUE"""),"ครีมนวดผม ชนิด ครีม บรรจุหลอด \ ขนาด 330 มล. \ ตราซันซิล (Sunsilk) สูตร Bouncy Big Hair (หลอดเงิน-ม่วง)")</f>
        <v>ครีมนวดผม ชนิด ครีม บรรจุหลอด \ ขนาด 330 มล. \ ตราซันซิล (Sunsilk) สูตร Bouncy Big Hair (หลอดเงิน-ม่วง)</v>
      </c>
      <c r="D437" s="5"/>
      <c r="E437" s="5"/>
      <c r="F437" s="5">
        <f>IFERROR(__xludf.DUMMYFUNCTION("""COMPUTED_VALUE"""),8.851932493437E12)</f>
        <v>8851932493437</v>
      </c>
      <c r="G437" s="5" t="str">
        <f>IFERROR(__xludf.DUMMYFUNCTION("""COMPUTED_VALUE"""),"ซันซิลครีมนวดเบาวน์ซี่บิ๊กแฮร์เงิน330ml")</f>
        <v>ซันซิลครีมนวดเบาวน์ซี่บิ๊กแฮร์เงิน330ml</v>
      </c>
      <c r="H437" s="7">
        <f>IFERROR(__xludf.DUMMYFUNCTION("""COMPUTED_VALUE"""),179.0)</f>
        <v>179</v>
      </c>
      <c r="I437" s="7">
        <f>IFERROR(__xludf.DUMMYFUNCTION("""COMPUTED_VALUE"""),109.0)</f>
        <v>109</v>
      </c>
      <c r="J437" s="5"/>
    </row>
    <row r="438">
      <c r="A438" s="5"/>
      <c r="B438" s="6" t="str">
        <f>IFERROR(__xludf.DUMMYFUNCTION("""COMPUTED_VALUE"""),"4210012213030101")</f>
        <v>4210012213030101</v>
      </c>
      <c r="C438" s="5" t="str">
        <f>IFERROR(__xludf.DUMMYFUNCTION("""COMPUTED_VALUE"""),"ครีมนวดผม ชนิดเซรั่ม\ บรรจุขวด(ขวดชนิดมีหัวกด) \ขนาด 330 มล.\ ตราซันซิลค์ (คละสี/สูตร)")</f>
        <v>ครีมนวดผม ชนิดเซรั่ม\ บรรจุขวด(ขวดชนิดมีหัวกด) \ขนาด 330 มล.\ ตราซันซิลค์ (คละสี/สูตร)</v>
      </c>
      <c r="D438" s="5"/>
      <c r="E438" s="5"/>
      <c r="F438" s="5">
        <f>IFERROR(__xludf.DUMMYFUNCTION("""COMPUTED_VALUE"""),8.851932354264E12)</f>
        <v>8851932354264</v>
      </c>
      <c r="G438" s="5" t="str">
        <f>IFERROR(__xludf.DUMMYFUNCTION("""COMPUTED_VALUE"""),"ซันซิลครีมนวดสมูทแอนด์เมเนจชมพู330ml")</f>
        <v>ซันซิลครีมนวดสมูทแอนด์เมเนจชมพู330ml</v>
      </c>
      <c r="H438" s="7">
        <f>IFERROR(__xludf.DUMMYFUNCTION("""COMPUTED_VALUE"""),149.0)</f>
        <v>149</v>
      </c>
      <c r="I438" s="7">
        <f>IFERROR(__xludf.DUMMYFUNCTION("""COMPUTED_VALUE"""),109.0)</f>
        <v>109</v>
      </c>
      <c r="J438" s="5"/>
    </row>
    <row r="439">
      <c r="A439" s="5"/>
      <c r="B439" s="6" t="str">
        <f>IFERROR(__xludf.DUMMYFUNCTION("""COMPUTED_VALUE"""),"4210022111010311")</f>
        <v>4210022111010311</v>
      </c>
      <c r="C439" s="5" t="str">
        <f>IFERROR(__xludf.DUMMYFUNCTION("""COMPUTED_VALUE"""),"โฟมล้างหน้า แบบครีม สำหรับผู้ชาย บรรจุหลอดพลาสติก ขนาด 100 กรัม ตรา Garnier รุ่น OIL CONTROL REFRESHING FOAM ALL DAY")</f>
        <v>โฟมล้างหน้า แบบครีม สำหรับผู้ชาย บรรจุหลอดพลาสติก ขนาด 100 กรัม ตรา Garnier รุ่น OIL CONTROL REFRESHING FOAM ALL DAY</v>
      </c>
      <c r="D439" s="5"/>
      <c r="E439" s="5"/>
      <c r="F439" s="5">
        <f>IFERROR(__xludf.DUMMYFUNCTION("""COMPUTED_VALUE"""),8.992304009167E12)</f>
        <v>8992304009167</v>
      </c>
      <c r="G439" s="5" t="str">
        <f>IFERROR(__xludf.DUMMYFUNCTION("""COMPUTED_VALUE"""),"การ์นิเย่เมนโฟมล้างหน้าคูลลิ่งโฟม100ml")</f>
        <v>การ์นิเย่เมนโฟมล้างหน้าคูลลิ่งโฟม100ml</v>
      </c>
      <c r="H439" s="7">
        <f>IFERROR(__xludf.DUMMYFUNCTION("""COMPUTED_VALUE"""),149.0)</f>
        <v>149</v>
      </c>
      <c r="I439" s="7"/>
      <c r="J439" s="5"/>
    </row>
    <row r="440">
      <c r="A440" s="5"/>
      <c r="B440" s="6" t="str">
        <f>IFERROR(__xludf.DUMMYFUNCTION("""COMPUTED_VALUE"""),"4210022101010306")</f>
        <v>4210022101010306</v>
      </c>
      <c r="C440" s="5" t="str">
        <f>IFERROR(__xludf.DUMMYFUNCTION("""COMPUTED_VALUE"""),"โฟมล้างหน้า แบบครีม สำหรับผู้หญิง บรรจุหลอดพลาสติก ขนาด 100 กรัม ตรา Ganier รุ่น Pure Active (สีฟ้า)")</f>
        <v>โฟมล้างหน้า แบบครีม สำหรับผู้หญิง บรรจุหลอดพลาสติก ขนาด 100 กรัม ตรา Ganier รุ่น Pure Active (สีฟ้า)</v>
      </c>
      <c r="D440" s="5"/>
      <c r="E440" s="5"/>
      <c r="F440" s="5">
        <f>IFERROR(__xludf.DUMMYFUNCTION("""COMPUTED_VALUE"""),8.992304019524E12)</f>
        <v>8992304019524</v>
      </c>
      <c r="G440" s="5" t="str">
        <f>IFERROR(__xludf.DUMMYFUNCTION("""COMPUTED_VALUE"""),"การ์นิเย่โฟมล้างหน้าแอนติแอคเน่100ml")</f>
        <v>การ์นิเย่โฟมล้างหน้าแอนติแอคเน่100ml</v>
      </c>
      <c r="H440" s="7">
        <f>IFERROR(__xludf.DUMMYFUNCTION("""COMPUTED_VALUE"""),139.0)</f>
        <v>139</v>
      </c>
      <c r="I440" s="7"/>
      <c r="J440" s="5"/>
    </row>
    <row r="441">
      <c r="A441" s="5"/>
      <c r="B441" s="6" t="str">
        <f>IFERROR(__xludf.DUMMYFUNCTION("""COMPUTED_VALUE"""),"4210022101011005")</f>
        <v>4210022101011005</v>
      </c>
      <c r="C441" s="5" t="str">
        <f>IFERROR(__xludf.DUMMYFUNCTION("""COMPUTED_VALUE"""),"โฟมล้างหน้า แบบครีม สำหรับผู้หญิง บรรจุหลอดพลาสติก ขนาด 100 กรัม ตรา Biore รุ่น Skin Caring Facial Foam สูตร Pure Oil Clear")</f>
        <v>โฟมล้างหน้า แบบครีม สำหรับผู้หญิง บรรจุหลอดพลาสติก ขนาด 100 กรัม ตรา Biore รุ่น Skin Caring Facial Foam สูตร Pure Oil Clear</v>
      </c>
      <c r="D441" s="5"/>
      <c r="E441" s="5"/>
      <c r="F441" s="5">
        <f>IFERROR(__xludf.DUMMYFUNCTION("""COMPUTED_VALUE"""),8.851818199576E12)</f>
        <v>8851818199576</v>
      </c>
      <c r="G441" s="5" t="str">
        <f>IFERROR(__xludf.DUMMYFUNCTION("""COMPUTED_VALUE"""),"บิโอเรโฟมล้างหน้าเพียวออยล์เคลียร์100g")</f>
        <v>บิโอเรโฟมล้างหน้าเพียวออยล์เคลียร์100g</v>
      </c>
      <c r="H441" s="7">
        <f>IFERROR(__xludf.DUMMYFUNCTION("""COMPUTED_VALUE"""),115.0)</f>
        <v>115</v>
      </c>
      <c r="I441" s="7"/>
      <c r="J441" s="5"/>
    </row>
    <row r="442">
      <c r="A442" s="5"/>
      <c r="B442" s="6" t="str">
        <f>IFERROR(__xludf.DUMMYFUNCTION("""COMPUTED_VALUE"""),"4210022111010703")</f>
        <v>4210022111010703</v>
      </c>
      <c r="C442" s="5" t="str">
        <f>IFERROR(__xludf.DUMMYFUNCTION("""COMPUTED_VALUE"""),"โฟมล้างหน้า แบบครีม สำหรับผู้ชาย บรรจุหลอดพลาสติก ขนาด 100 กรัม ตรา Nivea Men Bright 8H* OIL CLEAR โคลนโฟม Air Cool")</f>
        <v>โฟมล้างหน้า แบบครีม สำหรับผู้ชาย บรรจุหลอดพลาสติก ขนาด 100 กรัม ตรา Nivea Men Bright 8H* OIL CLEAR โคลนโฟม Air Cool</v>
      </c>
      <c r="D442" s="5"/>
      <c r="E442" s="5"/>
      <c r="F442" s="5">
        <f>IFERROR(__xludf.DUMMYFUNCTION("""COMPUTED_VALUE"""),8.85002901463E12)</f>
        <v>8850029014630</v>
      </c>
      <c r="G442" s="5" t="str">
        <f>IFERROR(__xludf.DUMMYFUNCTION("""COMPUTED_VALUE"""),"นีเวียเมนมัดโฟมไวท์ออยเคลียร์100g")</f>
        <v>นีเวียเมนมัดโฟมไวท์ออยเคลียร์100g</v>
      </c>
      <c r="H442" s="7">
        <f>IFERROR(__xludf.DUMMYFUNCTION("""COMPUTED_VALUE"""),139.0)</f>
        <v>139</v>
      </c>
      <c r="I442" s="7"/>
      <c r="J442" s="5"/>
    </row>
    <row r="443">
      <c r="A443" s="5"/>
      <c r="B443" s="6" t="str">
        <f>IFERROR(__xludf.DUMMYFUNCTION("""COMPUTED_VALUE"""),"4210022101010307")</f>
        <v>4210022101010307</v>
      </c>
      <c r="C443" s="5" t="str">
        <f>IFERROR(__xludf.DUMMYFUNCTION("""COMPUTED_VALUE"""),"โฟมล้างหน้า แบบครีม สำหรับผู้หญิง บรรจุหลอดพลาสติก ขนาด 100 กรัม ตรา Ganier รุ่น Sakura Glow สูตร HYALURON Face Wash")</f>
        <v>โฟมล้างหน้า แบบครีม สำหรับผู้หญิง บรรจุหลอดพลาสติก ขนาด 100 กรัม ตรา Ganier รุ่น Sakura Glow สูตร HYALURON Face Wash</v>
      </c>
      <c r="D443" s="5"/>
      <c r="E443" s="5"/>
      <c r="F443" s="5">
        <f>IFERROR(__xludf.DUMMYFUNCTION("""COMPUTED_VALUE"""),8.992304033858E12)</f>
        <v>8992304033858</v>
      </c>
      <c r="G443" s="5" t="str">
        <f>IFERROR(__xludf.DUMMYFUNCTION("""COMPUTED_VALUE"""),"การ์นิเย่โฟมล้างหน้าซากุระไวท์100ml")</f>
        <v>การ์นิเย่โฟมล้างหน้าซากุระไวท์100ml</v>
      </c>
      <c r="H443" s="7">
        <f>IFERROR(__xludf.DUMMYFUNCTION("""COMPUTED_VALUE"""),139.0)</f>
        <v>139</v>
      </c>
      <c r="I443" s="7"/>
      <c r="J443" s="5"/>
    </row>
    <row r="444">
      <c r="A444" s="5"/>
      <c r="B444" s="6" t="str">
        <f>IFERROR(__xludf.DUMMYFUNCTION("""COMPUTED_VALUE"""),"4210022111010711")</f>
        <v>4210022111010711</v>
      </c>
      <c r="C444" s="5" t="str">
        <f>IFERROR(__xludf.DUMMYFUNCTION("""COMPUTED_VALUE"""),"โฟมล้างหน้า แบบครีม สำหรับผู้ชาย บรรจุหลอดพลาสติก ขนาด 100 กรัม ตรา Nivea Men รุ่น Extra Bright Facial Foam")</f>
        <v>โฟมล้างหน้า แบบครีม สำหรับผู้ชาย บรรจุหลอดพลาสติก ขนาด 100 กรัม ตรา Nivea Men รุ่น Extra Bright Facial Foam</v>
      </c>
      <c r="D444" s="5"/>
      <c r="E444" s="5"/>
      <c r="F444" s="5">
        <f>IFERROR(__xludf.DUMMYFUNCTION("""COMPUTED_VALUE"""),4.005808888368E12)</f>
        <v>4005808888368</v>
      </c>
      <c r="G444" s="5" t="str">
        <f>IFERROR(__xludf.DUMMYFUNCTION("""COMPUTED_VALUE"""),"นีเวียเมนโฟมล้างหน้าเอ็กตร้าไวท์100g")</f>
        <v>นีเวียเมนโฟมล้างหน้าเอ็กตร้าไวท์100g</v>
      </c>
      <c r="H444" s="7">
        <f>IFERROR(__xludf.DUMMYFUNCTION("""COMPUTED_VALUE"""),139.0)</f>
        <v>139</v>
      </c>
      <c r="I444" s="7"/>
      <c r="J444" s="5"/>
    </row>
    <row r="445">
      <c r="A445" s="5"/>
      <c r="B445" s="6" t="str">
        <f>IFERROR(__xludf.DUMMYFUNCTION("""COMPUTED_VALUE"""),"4210022101010502")</f>
        <v>4210022101010502</v>
      </c>
      <c r="C445" s="5" t="str">
        <f>IFERROR(__xludf.DUMMYFUNCTION("""COMPUTED_VALUE"""),"โฟมล้างหน้า แบบครีม สำหรับผู้หญิง บรรจุหลอดพลาสติก ขนาด 100 กรัม ตรา Neutrogena รุ่น Deep Clean Foaming Cleanser")</f>
        <v>โฟมล้างหน้า แบบครีม สำหรับผู้หญิง บรรจุหลอดพลาสติก ขนาด 100 กรัม ตรา Neutrogena รุ่น Deep Clean Foaming Cleanser</v>
      </c>
      <c r="D445" s="5"/>
      <c r="E445" s="5"/>
      <c r="F445" s="5">
        <f>IFERROR(__xludf.DUMMYFUNCTION("""COMPUTED_VALUE"""),9.556006060513E12)</f>
        <v>9556006060513</v>
      </c>
      <c r="G445" s="5" t="str">
        <f>IFERROR(__xludf.DUMMYFUNCTION("""COMPUTED_VALUE"""),"นูโทรจีนาโฟมล้างหน้าดีพคลีน100g")</f>
        <v>นูโทรจีนาโฟมล้างหน้าดีพคลีน100g</v>
      </c>
      <c r="H445" s="7">
        <f>IFERROR(__xludf.DUMMYFUNCTION("""COMPUTED_VALUE"""),189.0)</f>
        <v>189</v>
      </c>
      <c r="I445" s="7"/>
      <c r="J445" s="5"/>
    </row>
    <row r="446">
      <c r="A446" s="5"/>
      <c r="B446" s="6" t="str">
        <f>IFERROR(__xludf.DUMMYFUNCTION("""COMPUTED_VALUE"""),"4210022111030101")</f>
        <v>4210022111030101</v>
      </c>
      <c r="C446" s="5" t="str">
        <f>IFERROR(__xludf.DUMMYFUNCTION("""COMPUTED_VALUE"""),"โฟมล้างหน้า แบบครีม สำหรับผู้ชาย บรรจุหลอดพลาสติก ขนาด 150 กรัม ตรา Nivea Men รุ่น Extra Bright Facial Foam")</f>
        <v>โฟมล้างหน้า แบบครีม สำหรับผู้ชาย บรรจุหลอดพลาสติก ขนาด 150 กรัม ตรา Nivea Men รุ่น Extra Bright Facial Foam</v>
      </c>
      <c r="D446" s="5"/>
      <c r="E446" s="5"/>
      <c r="F446" s="5">
        <f>IFERROR(__xludf.DUMMYFUNCTION("""COMPUTED_VALUE"""),8.850029210179E12)</f>
        <v>8850029210179</v>
      </c>
      <c r="G446" s="5" t="str">
        <f>IFERROR(__xludf.DUMMYFUNCTION("""COMPUTED_VALUE"""),"นีเวียเมนโฟมล้างหน้าเอ็กตร้าไวท์150g")</f>
        <v>นีเวียเมนโฟมล้างหน้าเอ็กตร้าไวท์150g</v>
      </c>
      <c r="H446" s="7">
        <f>IFERROR(__xludf.DUMMYFUNCTION("""COMPUTED_VALUE"""),175.0)</f>
        <v>175</v>
      </c>
      <c r="I446" s="7"/>
      <c r="J446" s="5"/>
    </row>
    <row r="447">
      <c r="A447" s="5">
        <f>IFERROR(__xludf.DUMMYFUNCTION("""COMPUTED_VALUE"""),1230015.0)</f>
        <v>1230015</v>
      </c>
      <c r="B447" s="6" t="str">
        <f>IFERROR(__xludf.DUMMYFUNCTION("""COMPUTED_VALUE"""),"1230015911010101")</f>
        <v>1230015911010101</v>
      </c>
      <c r="C447" s="5" t="str">
        <f>IFERROR(__xludf.DUMMYFUNCTION("""COMPUTED_VALUE"""),"นักเก็ตไก่ \ บรรจุกล่องพลาสติก\ปริมาณ 200 กรัม \ตรา CP")</f>
        <v>นักเก็ตไก่ \ บรรจุกล่องพลาสติก\ปริมาณ 200 กรัม \ตรา CP</v>
      </c>
      <c r="D447" s="5"/>
      <c r="E447" s="5"/>
      <c r="F447" s="5">
        <f>IFERROR(__xludf.DUMMYFUNCTION("""COMPUTED_VALUE"""),8.850653530414E12)</f>
        <v>8850653530414</v>
      </c>
      <c r="G447" s="5" t="str">
        <f>IFERROR(__xludf.DUMMYFUNCTION("""COMPUTED_VALUE"""),"ซีพีนักเก็ตไก่200g")</f>
        <v>ซีพีนักเก็ตไก่200g</v>
      </c>
      <c r="H447" s="7">
        <f>IFERROR(__xludf.DUMMYFUNCTION("""COMPUTED_VALUE"""),79.0)</f>
        <v>79</v>
      </c>
      <c r="I447" s="7">
        <f>IFERROR(__xludf.DUMMYFUNCTION("""COMPUTED_VALUE"""),69.0)</f>
        <v>69</v>
      </c>
      <c r="J447" s="5"/>
    </row>
    <row r="448">
      <c r="A448" s="5"/>
      <c r="B448" s="6" t="str">
        <f>IFERROR(__xludf.DUMMYFUNCTION("""COMPUTED_VALUE"""),"4210027112010201")</f>
        <v>4210027112010201</v>
      </c>
      <c r="C448" s="5" t="str">
        <f>IFERROR(__xludf.DUMMYFUNCTION("""COMPUTED_VALUE"""),"น้ำยาบ้วนปาก ชนิดน้ำ บรรจุขวดพลาสติก (แพ็คคู่) ขนาด 750 มล. ตรา คอลเกต (Colgate) พลักซ์ (PLAX) กลิ่น เปปเปอร์มินท์ เฟรช (Peppermint Fresh)")</f>
        <v>น้ำยาบ้วนปาก ชนิดน้ำ บรรจุขวดพลาสติก (แพ็คคู่) ขนาด 750 มล. ตรา คอลเกต (Colgate) พลักซ์ (PLAX) กลิ่น เปปเปอร์มินท์ เฟรช (Peppermint Fresh)</v>
      </c>
      <c r="D448" s="5"/>
      <c r="E448" s="5"/>
      <c r="F448" s="5">
        <f>IFERROR(__xludf.DUMMYFUNCTION("""COMPUTED_VALUE"""),8.850006939284E12)</f>
        <v>8850006939284</v>
      </c>
      <c r="G448" s="5" t="str">
        <f>IFERROR(__xludf.DUMMYFUNCTION("""COMPUTED_VALUE"""),"คอลเกตน้ำยาบ้วนปากเปปเปอร์มินท์750ml1+1")</f>
        <v>คอลเกตน้ำยาบ้วนปากเปปเปอร์มินท์750ml1+1</v>
      </c>
      <c r="H448" s="7">
        <f>IFERROR(__xludf.DUMMYFUNCTION("""COMPUTED_VALUE"""),249.0)</f>
        <v>249</v>
      </c>
      <c r="I448" s="7">
        <f>IFERROR(__xludf.DUMMYFUNCTION("""COMPUTED_VALUE"""),199.0)</f>
        <v>199</v>
      </c>
      <c r="J448" s="5"/>
    </row>
    <row r="449">
      <c r="A449" s="5"/>
      <c r="B449" s="6" t="str">
        <f>IFERROR(__xludf.DUMMYFUNCTION("""COMPUTED_VALUE"""),"4210010711040102")</f>
        <v>4210010711040102</v>
      </c>
      <c r="C449" s="5" t="str">
        <f>IFERROR(__xludf.DUMMYFUNCTION("""COMPUTED_VALUE"""),"ใบมีดโกน ชนิดระบบใบมีด 3 ใบ ปรับมุมได้ บรรจุแพ็ค \ จำนวน 2 ใบ \ ตรายิลเลตต์ (Gillette) รุ่นเฟล็กซี่ ไวบ์ (Flexi Vibe)")</f>
        <v>ใบมีดโกน ชนิดระบบใบมีด 3 ใบ ปรับมุมได้ บรรจุแพ็ค \ จำนวน 2 ใบ \ ตรายิลเลตต์ (Gillette) รุ่นเฟล็กซี่ ไวบ์ (Flexi Vibe)</v>
      </c>
      <c r="D449" s="5"/>
      <c r="E449" s="5"/>
      <c r="F449" s="5">
        <f>IFERROR(__xludf.DUMMYFUNCTION("""COMPUTED_VALUE"""),4.987176121998E12)</f>
        <v>4987176121998</v>
      </c>
      <c r="G449" s="5" t="str">
        <f>IFERROR(__xludf.DUMMYFUNCTION("""COMPUTED_VALUE"""),"300_ยิลเลตต์ใบมีดโกนเฟล็กซ์ซี่(3+2)")</f>
        <v>300_ยิลเลตต์ใบมีดโกนเฟล็กซ์ซี่(3+2)</v>
      </c>
      <c r="H449" s="7">
        <f>IFERROR(__xludf.DUMMYFUNCTION("""COMPUTED_VALUE"""),89.0)</f>
        <v>89</v>
      </c>
      <c r="I449" s="7"/>
      <c r="J449" s="5"/>
    </row>
    <row r="450">
      <c r="A450" s="5"/>
      <c r="B450" s="6" t="str">
        <f>IFERROR(__xludf.DUMMYFUNCTION("""COMPUTED_VALUE"""),"3600001111730101")</f>
        <v>3600001111730101</v>
      </c>
      <c r="C450" s="5" t="str">
        <f>IFERROR(__xludf.DUMMYFUNCTION("""COMPUTED_VALUE"""),"ผงซักฟอกซักด้วยมือและเครื่อง บรรจุถุงพลาสติก \ ขนาด 1250 กรัม \ ตราบรีซเอกเซล อัลตร้าคลีน")</f>
        <v>ผงซักฟอกซักด้วยมือและเครื่อง บรรจุถุงพลาสติก \ ขนาด 1250 กรัม \ ตราบรีซเอกเซล อัลตร้าคลีน</v>
      </c>
      <c r="D450" s="5"/>
      <c r="E450" s="5"/>
      <c r="F450" s="5">
        <f>IFERROR(__xludf.DUMMYFUNCTION("""COMPUTED_VALUE"""),8.851932377478E12)</f>
        <v>8851932377478</v>
      </c>
      <c r="G450" s="5" t="str">
        <f>IFERROR(__xludf.DUMMYFUNCTION("""COMPUTED_VALUE"""),"บรีสเอกเซลผงซักฟอกเข้มข้นเขียว1250g")</f>
        <v>บรีสเอกเซลผงซักฟอกเข้มข้นเขียว1250g</v>
      </c>
      <c r="H450" s="7">
        <f>IFERROR(__xludf.DUMMYFUNCTION("""COMPUTED_VALUE"""),149.0)</f>
        <v>149</v>
      </c>
      <c r="I450" s="7"/>
      <c r="J450" s="5"/>
    </row>
    <row r="451">
      <c r="A451" s="5"/>
      <c r="B451" s="6" t="str">
        <f>IFERROR(__xludf.DUMMYFUNCTION("""COMPUTED_VALUE"""),"3600001111730102")</f>
        <v>3600001111730102</v>
      </c>
      <c r="C451" s="5" t="str">
        <f>IFERROR(__xludf.DUMMYFUNCTION("""COMPUTED_VALUE"""),"ผงซักฟอกซักด้วยมือและเครื่อง บรรจุถุงพลาสติก \ ขนาด 1250 กรัม \ ตราบรีซเอกเซล ซิกเนเจอร์ (คละกลิ่น)")</f>
        <v>ผงซักฟอกซักด้วยมือและเครื่อง บรรจุถุงพลาสติก \ ขนาด 1250 กรัม \ ตราบรีซเอกเซล ซิกเนเจอร์ (คละกลิ่น)</v>
      </c>
      <c r="D451" s="5"/>
      <c r="E451" s="5"/>
      <c r="F451" s="5">
        <f>IFERROR(__xludf.DUMMYFUNCTION("""COMPUTED_VALUE"""),8.851932377829E12)</f>
        <v>8851932377829</v>
      </c>
      <c r="G451" s="5" t="str">
        <f>IFERROR(__xludf.DUMMYFUNCTION("""COMPUTED_VALUE"""),"บรีสเอกเซลผงซักฟอกเข้มข้นชมพู1250g")</f>
        <v>บรีสเอกเซลผงซักฟอกเข้มข้นชมพู1250g</v>
      </c>
      <c r="H451" s="7">
        <f>IFERROR(__xludf.DUMMYFUNCTION("""COMPUTED_VALUE"""),149.0)</f>
        <v>149</v>
      </c>
      <c r="I451" s="7"/>
      <c r="J451" s="5"/>
    </row>
    <row r="452">
      <c r="A452" s="5"/>
      <c r="B452" s="6" t="str">
        <f>IFERROR(__xludf.DUMMYFUNCTION("""COMPUTED_VALUE"""),"3600001111160308")</f>
        <v>3600001111160308</v>
      </c>
      <c r="C452" s="5" t="str">
        <f>IFERROR(__xludf.DUMMYFUNCTION("""COMPUTED_VALUE"""),"ผงซักฟอก ชนิดซักด้วยมือและเครื่อง บรรจุถุงพลาสติก \ ขนาด 800 กรัม \ตราโอโมพลัส มอร์นิ่งบลูม ลดกลิ่นอับ")</f>
        <v>ผงซักฟอก ชนิดซักด้วยมือและเครื่อง บรรจุถุงพลาสติก \ ขนาด 800 กรัม \ตราโอโมพลัส มอร์นิ่งบลูม ลดกลิ่นอับ</v>
      </c>
      <c r="D452" s="5"/>
      <c r="E452" s="5"/>
      <c r="F452" s="5">
        <f>IFERROR(__xludf.DUMMYFUNCTION("""COMPUTED_VALUE"""),8.851932187688E12)</f>
        <v>8851932187688</v>
      </c>
      <c r="G452" s="5" t="str">
        <f>IFERROR(__xludf.DUMMYFUNCTION("""COMPUTED_VALUE"""),"โอโมผงซักฟอกเข้มข้นมอร์นิ่งบลูม800g")</f>
        <v>โอโมผงซักฟอกเข้มข้นมอร์นิ่งบลูม800g</v>
      </c>
      <c r="H452" s="7">
        <f>IFERROR(__xludf.DUMMYFUNCTION("""COMPUTED_VALUE"""),89.0)</f>
        <v>89</v>
      </c>
      <c r="I452" s="7"/>
      <c r="J452" s="5"/>
    </row>
    <row r="453">
      <c r="A453" s="5"/>
      <c r="B453" s="6" t="str">
        <f>IFERROR(__xludf.DUMMYFUNCTION("""COMPUTED_VALUE"""),"3600001111520301")</f>
        <v>3600001111520301</v>
      </c>
      <c r="C453" s="5" t="str">
        <f>IFERROR(__xludf.DUMMYFUNCTION("""COMPUTED_VALUE"""),"ผงซักฟอกซักด้วยมือและเครื่อง บรรจุถุงพลาสติก ขนาด 750 กรัม ตรา โอโม ซันชายน์")</f>
        <v>ผงซักฟอกซักด้วยมือและเครื่อง บรรจุถุงพลาสติก ขนาด 750 กรัม ตรา โอโม ซันชายน์</v>
      </c>
      <c r="D453" s="5"/>
      <c r="E453" s="5"/>
      <c r="F453" s="5">
        <f>IFERROR(__xludf.DUMMYFUNCTION("""COMPUTED_VALUE"""),8.851932356572E12)</f>
        <v>8851932356572</v>
      </c>
      <c r="G453" s="5" t="str">
        <f>IFERROR(__xludf.DUMMYFUNCTION("""COMPUTED_VALUE"""),"150_โอโมซันชายน์ 750g")</f>
        <v>150_โอโมซันชายน์ 750g</v>
      </c>
      <c r="H453" s="7">
        <f>IFERROR(__xludf.DUMMYFUNCTION("""COMPUTED_VALUE"""),45.0)</f>
        <v>45</v>
      </c>
      <c r="I453" s="7"/>
      <c r="J453" s="5"/>
    </row>
    <row r="454">
      <c r="A454" s="5"/>
      <c r="B454" s="6" t="str">
        <f>IFERROR(__xludf.DUMMYFUNCTION("""COMPUTED_VALUE"""),"3600001111150401")</f>
        <v>3600001111150401</v>
      </c>
      <c r="C454" s="5" t="str">
        <f>IFERROR(__xludf.DUMMYFUNCTION("""COMPUTED_VALUE"""),"ผงซักฟอก ชนิดซักด้วยมือและเครื่อง บรรจุถุงพลาสติก \ ขนาด 250 กรัม \ตราโอโม ซันชายน์")</f>
        <v>ผงซักฟอก ชนิดซักด้วยมือและเครื่อง บรรจุถุงพลาสติก \ ขนาด 250 กรัม \ตราโอโม ซันชายน์</v>
      </c>
      <c r="D454" s="5"/>
      <c r="E454" s="5"/>
      <c r="F454" s="5">
        <f>IFERROR(__xludf.DUMMYFUNCTION("""COMPUTED_VALUE"""),8.851932356565E12)</f>
        <v>8851932356565</v>
      </c>
      <c r="G454" s="5" t="str">
        <f>IFERROR(__xludf.DUMMYFUNCTION("""COMPUTED_VALUE"""),"โอโมผงซักฟอกมาตรฐานซันชายน์250g")</f>
        <v>โอโมผงซักฟอกมาตรฐานซันชายน์250g</v>
      </c>
      <c r="H454" s="7">
        <f>IFERROR(__xludf.DUMMYFUNCTION("""COMPUTED_VALUE"""),20.0)</f>
        <v>20</v>
      </c>
      <c r="I454" s="7"/>
      <c r="J454" s="5"/>
    </row>
    <row r="455">
      <c r="A455" s="5"/>
      <c r="B455" s="6" t="str">
        <f>IFERROR(__xludf.DUMMYFUNCTION("""COMPUTED_VALUE"""),"3600001111110204")</f>
        <v>3600001111110204</v>
      </c>
      <c r="C455" s="5" t="str">
        <f>IFERROR(__xludf.DUMMYFUNCTION("""COMPUTED_VALUE"""),"ผงซักฟอก ชนิดซักด้วยมือและเครื่อง บรรจุถุงพลาสติก \ ขนาด 600 กรัม \ตราโอโม มอร์นิ่งเฟรช")</f>
        <v>ผงซักฟอก ชนิดซักด้วยมือและเครื่อง บรรจุถุงพลาสติก \ ขนาด 600 กรัม \ตราโอโม มอร์นิ่งเฟรช</v>
      </c>
      <c r="D455" s="5"/>
      <c r="E455" s="5"/>
      <c r="F455" s="5">
        <f>IFERROR(__xludf.DUMMYFUNCTION("""COMPUTED_VALUE"""),8.85193230122E12)</f>
        <v>8851932301220</v>
      </c>
      <c r="G455" s="5" t="str">
        <f>IFERROR(__xludf.DUMMYFUNCTION("""COMPUTED_VALUE"""),"CP2_โอโมซักผ้าเข้มข้นมอร์นิ่ง600ml")</f>
        <v>CP2_โอโมซักผ้าเข้มข้นมอร์นิ่ง600ml</v>
      </c>
      <c r="H455" s="7">
        <f>IFERROR(__xludf.DUMMYFUNCTION("""COMPUTED_VALUE"""),85.0)</f>
        <v>85</v>
      </c>
      <c r="I455" s="7"/>
      <c r="J455" s="5"/>
    </row>
    <row r="456">
      <c r="A456" s="5"/>
      <c r="B456" s="6" t="str">
        <f>IFERROR(__xludf.DUMMYFUNCTION("""COMPUTED_VALUE"""),"3600001212130201")</f>
        <v>3600001212130201</v>
      </c>
      <c r="C456" s="5" t="str">
        <f>IFERROR(__xludf.DUMMYFUNCTION("""COMPUTED_VALUE"""),"ผลิตภัณฑ์ซักผ้า (น้ำยาซักแห้ง) ชนิดน้ำ บรรจุถุงพลาสติก (รีฟิว) ขนาด 620 ม.ล. ตรา เปา วินวอช")</f>
        <v>ผลิตภัณฑ์ซักผ้า (น้ำยาซักแห้ง) ชนิดน้ำ บรรจุถุงพลาสติก (รีฟิว) ขนาด 620 ม.ล. ตรา เปา วินวอช</v>
      </c>
      <c r="D456" s="5"/>
      <c r="E456" s="5"/>
      <c r="F456" s="5">
        <f>IFERROR(__xludf.DUMMYFUNCTION("""COMPUTED_VALUE"""),8.850002024823E12)</f>
        <v>8850002024823</v>
      </c>
      <c r="G456" s="5" t="str">
        <f>IFERROR(__xludf.DUMMYFUNCTION("""COMPUTED_VALUE"""),"เปาซักผ้าเข้มข้นวินวอชส้ม620ml")</f>
        <v>เปาซักผ้าเข้มข้นวินวอชส้ม620ml</v>
      </c>
      <c r="H456" s="7">
        <f>IFERROR(__xludf.DUMMYFUNCTION("""COMPUTED_VALUE"""),99.0)</f>
        <v>99</v>
      </c>
      <c r="I456" s="7"/>
      <c r="J456" s="5"/>
    </row>
    <row r="457">
      <c r="A457" s="5"/>
      <c r="B457" s="6" t="str">
        <f>IFERROR(__xludf.DUMMYFUNCTION("""COMPUTED_VALUE"""),"3600001111160508")</f>
        <v>3600001111160508</v>
      </c>
      <c r="C457" s="5" t="str">
        <f>IFERROR(__xludf.DUMMYFUNCTION("""COMPUTED_VALUE"""),"ผงซักฟอก ชนิดซักด้วยมือและเครื่อง บรรจุถุงพลาสติก \ ขนาด 800 กรัม \ตราแอทแทค แฮ๊บปี้สวิท บับเบิ้ลน้ำหอม")</f>
        <v>ผงซักฟอก ชนิดซักด้วยมือและเครื่อง บรรจุถุงพลาสติก \ ขนาด 800 กรัม \ตราแอทแทค แฮ๊บปี้สวิท บับเบิ้ลน้ำหอม</v>
      </c>
      <c r="D457" s="5"/>
      <c r="E457" s="5"/>
      <c r="F457" s="5">
        <f>IFERROR(__xludf.DUMMYFUNCTION("""COMPUTED_VALUE"""),8.851818208926E12)</f>
        <v>8851818208926</v>
      </c>
      <c r="G457" s="5" t="str">
        <f>IFERROR(__xludf.DUMMYFUNCTION("""COMPUTED_VALUE"""),"แอทแทคอีซี่ผงซักฟอกแฮปปี้สวีท800g")</f>
        <v>แอทแทคอีซี่ผงซักฟอกแฮปปี้สวีท800g</v>
      </c>
      <c r="H457" s="7">
        <f>IFERROR(__xludf.DUMMYFUNCTION("""COMPUTED_VALUE"""),57.0)</f>
        <v>57</v>
      </c>
      <c r="I457" s="7">
        <f>IFERROR(__xludf.DUMMYFUNCTION("""COMPUTED_VALUE"""),45.0)</f>
        <v>45</v>
      </c>
      <c r="J457" s="5"/>
    </row>
    <row r="458">
      <c r="A458" s="5"/>
      <c r="B458" s="6" t="str">
        <f>IFERROR(__xludf.DUMMYFUNCTION("""COMPUTED_VALUE"""),"3600001111160522")</f>
        <v>3600001111160522</v>
      </c>
      <c r="C458" s="5" t="str">
        <f>IFERROR(__xludf.DUMMYFUNCTION("""COMPUTED_VALUE"""),"ผงซักฟอก ชนิดซักด้วยมือและเครื่อง บรรจุถุงพลาสติก \ ขนาด 800 กรัม \ตราแอทแทค อีซี่ ซากุระสวีท")</f>
        <v>ผงซักฟอก ชนิดซักด้วยมือและเครื่อง บรรจุถุงพลาสติก \ ขนาด 800 กรัม \ตราแอทแทค อีซี่ ซากุระสวีท</v>
      </c>
      <c r="D458" s="5"/>
      <c r="E458" s="5"/>
      <c r="F458" s="5">
        <f>IFERROR(__xludf.DUMMYFUNCTION("""COMPUTED_VALUE"""),8.851818209015E12)</f>
        <v>8851818209015</v>
      </c>
      <c r="G458" s="5" t="str">
        <f>IFERROR(__xludf.DUMMYFUNCTION("""COMPUTED_VALUE"""),"แอทแทคอีซี่ผงซักฟอกซากุระสวีท800g")</f>
        <v>แอทแทคอีซี่ผงซักฟอกซากุระสวีท800g</v>
      </c>
      <c r="H458" s="7">
        <f>IFERROR(__xludf.DUMMYFUNCTION("""COMPUTED_VALUE"""),57.0)</f>
        <v>57</v>
      </c>
      <c r="I458" s="7">
        <f>IFERROR(__xludf.DUMMYFUNCTION("""COMPUTED_VALUE"""),45.0)</f>
        <v>45</v>
      </c>
      <c r="J458" s="5"/>
    </row>
    <row r="459">
      <c r="A459" s="5"/>
      <c r="B459" s="6" t="str">
        <f>IFERROR(__xludf.DUMMYFUNCTION("""COMPUTED_VALUE"""),"3600001111160513")</f>
        <v>3600001111160513</v>
      </c>
      <c r="C459" s="5" t="str">
        <f>IFERROR(__xludf.DUMMYFUNCTION("""COMPUTED_VALUE"""),"ผงซักฟอก ชนิดซักด้วยมือและเครื่อง บรรจุถุงพลาสติก \ ขนาด 800 กรัม \ตราแอทแทค อี่ซี่ เซ็กซี่ สวิท")</f>
        <v>ผงซักฟอก ชนิดซักด้วยมือและเครื่อง บรรจุถุงพลาสติก \ ขนาด 800 กรัม \ตราแอทแทค อี่ซี่ เซ็กซี่ สวิท</v>
      </c>
      <c r="D459" s="5"/>
      <c r="E459" s="5"/>
      <c r="F459" s="5">
        <f>IFERROR(__xludf.DUMMYFUNCTION("""COMPUTED_VALUE"""),8.851818208971E12)</f>
        <v>8851818208971</v>
      </c>
      <c r="G459" s="5" t="str">
        <f>IFERROR(__xludf.DUMMYFUNCTION("""COMPUTED_VALUE"""),"แอทแทคอีซี่ผงซักฟอกเซ็กซี่สวีท800g")</f>
        <v>แอทแทคอีซี่ผงซักฟอกเซ็กซี่สวีท800g</v>
      </c>
      <c r="H459" s="7">
        <f>IFERROR(__xludf.DUMMYFUNCTION("""COMPUTED_VALUE"""),57.0)</f>
        <v>57</v>
      </c>
      <c r="I459" s="7">
        <f>IFERROR(__xludf.DUMMYFUNCTION("""COMPUTED_VALUE"""),45.0)</f>
        <v>45</v>
      </c>
      <c r="J459" s="5"/>
    </row>
    <row r="460">
      <c r="A460" s="5"/>
      <c r="B460" s="6" t="str">
        <f>IFERROR(__xludf.DUMMYFUNCTION("""COMPUTED_VALUE"""),"3600001111520204")</f>
        <v>3600001111520204</v>
      </c>
      <c r="C460" s="5" t="str">
        <f>IFERROR(__xludf.DUMMYFUNCTION("""COMPUTED_VALUE"""),"ผงซักฟอกซักด้วยมือและเครื่อง บรรจุถุงพลาสติก ขนาด 750 กรัม ตราแอคแทค อีซี่ นุ่ม เรียบ ง่าย")</f>
        <v>ผงซักฟอกซักด้วยมือและเครื่อง บรรจุถุงพลาสติก ขนาด 750 กรัม ตราแอคแทค อีซี่ นุ่ม เรียบ ง่าย</v>
      </c>
      <c r="D460" s="5"/>
      <c r="E460" s="5"/>
      <c r="F460" s="5">
        <f>IFERROR(__xludf.DUMMYFUNCTION("""COMPUTED_VALUE"""),8.851818045972E12)</f>
        <v>8851818045972</v>
      </c>
      <c r="G460" s="5" t="str">
        <f>IFERROR(__xludf.DUMMYFUNCTION("""COMPUTED_VALUE"""),"300_แอทแทคอีซี่ผงซักฟอกนุ่มรีดง่าย750g")</f>
        <v>300_แอทแทคอีซี่ผงซักฟอกนุ่มรีดง่าย750g</v>
      </c>
      <c r="H460" s="7"/>
      <c r="I460" s="7"/>
      <c r="J460" s="5"/>
    </row>
    <row r="461">
      <c r="A461" s="5"/>
      <c r="B461" s="6" t="str">
        <f>IFERROR(__xludf.DUMMYFUNCTION("""COMPUTED_VALUE"""),"3600001111340201")</f>
        <v>3600001111340201</v>
      </c>
      <c r="C461" s="5" t="str">
        <f>IFERROR(__xludf.DUMMYFUNCTION("""COMPUTED_VALUE"""),"ผงซักฟอกซักด้วยมือและเครื่อง บรรจุถุงพลาสติก ขนาด 850 กรัม ตราแอทแทค 3 D คลืนแอ๊กชั่น ขาวสะอาดขจัดคราบ ยับยั้งกลิน กลิ่นเหงื่อบนผ้า ระหว่างวันและกลิ่นอับ")</f>
        <v>ผงซักฟอกซักด้วยมือและเครื่อง บรรจุถุงพลาสติก ขนาด 850 กรัม ตราแอทแทค 3 D คลืนแอ๊กชั่น ขาวสะอาดขจัดคราบ ยับยั้งกลิน กลิ่นเหงื่อบนผ้า ระหว่างวันและกลิ่นอับ</v>
      </c>
      <c r="D461" s="5"/>
      <c r="E461" s="5"/>
      <c r="F461" s="5">
        <f>IFERROR(__xludf.DUMMYFUNCTION("""COMPUTED_VALUE"""),8.851818054851E12)</f>
        <v>8851818054851</v>
      </c>
      <c r="G461" s="5" t="str">
        <f>IFERROR(__xludf.DUMMYFUNCTION("""COMPUTED_VALUE"""),"แอทแทค3Dคลีนแอ็คชั่น850g")</f>
        <v>แอทแทค3Dคลีนแอ็คชั่น850g</v>
      </c>
      <c r="H461" s="7">
        <f>IFERROR(__xludf.DUMMYFUNCTION("""COMPUTED_VALUE"""),92.0)</f>
        <v>92</v>
      </c>
      <c r="I461" s="7"/>
      <c r="J461" s="5"/>
    </row>
    <row r="462">
      <c r="A462" s="5"/>
      <c r="B462" s="6" t="str">
        <f>IFERROR(__xludf.DUMMYFUNCTION("""COMPUTED_VALUE"""),"3600001111320103")</f>
        <v>3600001111320103</v>
      </c>
      <c r="C462" s="5" t="str">
        <f>IFERROR(__xludf.DUMMYFUNCTION("""COMPUTED_VALUE"""),"ผงซักฟอกซักด้วยมือและเครื่อง บรรจุถุงพลาสติก\ขนาด1700 กรัม ตราแอทแทค 3D คลีนแอ็คชั่น แอนตี้แบคทีเรีย")</f>
        <v>ผงซักฟอกซักด้วยมือและเครื่อง บรรจุถุงพลาสติก\ขนาด1700 กรัม ตราแอทแทค 3D คลีนแอ็คชั่น แอนตี้แบคทีเรีย</v>
      </c>
      <c r="D462" s="5"/>
      <c r="E462" s="5"/>
      <c r="F462" s="5">
        <f>IFERROR(__xludf.DUMMYFUNCTION("""COMPUTED_VALUE"""),8.851818054875E12)</f>
        <v>8851818054875</v>
      </c>
      <c r="G462" s="5" t="str">
        <f>IFERROR(__xludf.DUMMYFUNCTION("""COMPUTED_VALUE"""),"300_แอทแทค3Dคลีนแอ็คชั่น1700g")</f>
        <v>300_แอทแทค3Dคลีนแอ็คชั่น1700g</v>
      </c>
      <c r="H462" s="7">
        <f>IFERROR(__xludf.DUMMYFUNCTION("""COMPUTED_VALUE"""),174.0)</f>
        <v>174</v>
      </c>
      <c r="I462" s="7"/>
      <c r="J462" s="5"/>
    </row>
    <row r="463">
      <c r="A463" s="5"/>
      <c r="B463" s="6" t="str">
        <f>IFERROR(__xludf.DUMMYFUNCTION("""COMPUTED_VALUE"""),"3600001211040203")</f>
        <v>3600001211040203</v>
      </c>
      <c r="C463" s="5" t="str">
        <f>IFERROR(__xludf.DUMMYFUNCTION("""COMPUTED_VALUE"""),"ผลิตภัณฑ์ซักผ้า (น้ำยาซักแห้ง) ชนิดน้ำ บรรจุถุงพลาสติก (รีฟิว) ขนาด 600 ม.ล. ตราไฮยีน เลิฟลี่ปลูม")</f>
        <v>ผลิตภัณฑ์ซักผ้า (น้ำยาซักแห้ง) ชนิดน้ำ บรรจุถุงพลาสติก (รีฟิว) ขนาด 600 ม.ล. ตราไฮยีน เลิฟลี่ปลูม</v>
      </c>
      <c r="D463" s="5"/>
      <c r="E463" s="5"/>
      <c r="F463" s="5">
        <f>IFERROR(__xludf.DUMMYFUNCTION("""COMPUTED_VALUE"""),8.850092252458E12)</f>
        <v>8850092252458</v>
      </c>
      <c r="G463" s="5" t="str">
        <f>IFERROR(__xludf.DUMMYFUNCTION("""COMPUTED_VALUE"""),"ไฮยีนซักผ้าเข้มข้นชมพู600ml")</f>
        <v>ไฮยีนซักผ้าเข้มข้นชมพู600ml</v>
      </c>
      <c r="H463" s="7">
        <f>IFERROR(__xludf.DUMMYFUNCTION("""COMPUTED_VALUE"""),65.0)</f>
        <v>65</v>
      </c>
      <c r="I463" s="7">
        <f>IFERROR(__xludf.DUMMYFUNCTION("""COMPUTED_VALUE"""),55.0)</f>
        <v>55</v>
      </c>
      <c r="J463" s="5"/>
    </row>
    <row r="464">
      <c r="A464" s="5"/>
      <c r="B464" s="6" t="str">
        <f>IFERROR(__xludf.DUMMYFUNCTION("""COMPUTED_VALUE"""),"3600001211040209")</f>
        <v>3600001211040209</v>
      </c>
      <c r="C464" s="5" t="str">
        <f>IFERROR(__xludf.DUMMYFUNCTION("""COMPUTED_VALUE"""),"ผลิตภัณฑ์ซักผ้า (น้ำยาซักแห้ง) ชนิดน้ำ บรรจุถุงพลาสติก (รีฟิว) ขนาด 600 ม.ล. ตราตราไฮยีน Epert Wash ซันคิส บลูมมิ่ง สลายกลิ่นอับ ขจัดกลิ่นเหงื่อ")</f>
        <v>ผลิตภัณฑ์ซักผ้า (น้ำยาซักแห้ง) ชนิดน้ำ บรรจุถุงพลาสติก (รีฟิว) ขนาด 600 ม.ล. ตราตราไฮยีน Epert Wash ซันคิส บลูมมิ่ง สลายกลิ่นอับ ขจัดกลิ่นเหงื่อ</v>
      </c>
      <c r="D464" s="5"/>
      <c r="E464" s="5"/>
      <c r="F464" s="5">
        <f>IFERROR(__xludf.DUMMYFUNCTION("""COMPUTED_VALUE"""),8.850092256463E12)</f>
        <v>8850092256463</v>
      </c>
      <c r="G464" s="5" t="str">
        <f>IFERROR(__xludf.DUMMYFUNCTION("""COMPUTED_VALUE"""),"ไฮยีนซักผ้าเข้มข้นฟ้า600ml")</f>
        <v>ไฮยีนซักผ้าเข้มข้นฟ้า600ml</v>
      </c>
      <c r="H464" s="7">
        <f>IFERROR(__xludf.DUMMYFUNCTION("""COMPUTED_VALUE"""),65.0)</f>
        <v>65</v>
      </c>
      <c r="I464" s="7">
        <f>IFERROR(__xludf.DUMMYFUNCTION("""COMPUTED_VALUE"""),55.0)</f>
        <v>55</v>
      </c>
      <c r="J464" s="5"/>
    </row>
    <row r="465">
      <c r="A465" s="5"/>
      <c r="B465" s="6" t="str">
        <f>IFERROR(__xludf.DUMMYFUNCTION("""COMPUTED_VALUE"""),"3600001211040210")</f>
        <v>3600001211040210</v>
      </c>
      <c r="C465" s="5" t="str">
        <f>IFERROR(__xludf.DUMMYFUNCTION("""COMPUTED_VALUE"""),"ผลิตภัณฑ์ซักผ้า (น้ำยาซักแห้ง) ชนิดน้ำ บรรจุถุงพลาสติก (รีฟิว) ขนาด 600 ม.ล. ตราตราไฮยีน SUNRISE KISS")</f>
        <v>ผลิตภัณฑ์ซักผ้า (น้ำยาซักแห้ง) ชนิดน้ำ บรรจุถุงพลาสติก (รีฟิว) ขนาด 600 ม.ล. ตราตราไฮยีน SUNRISE KISS</v>
      </c>
      <c r="D465" s="5"/>
      <c r="E465" s="5"/>
      <c r="F465" s="5">
        <f>IFERROR(__xludf.DUMMYFUNCTION("""COMPUTED_VALUE"""),8.850092257453E12)</f>
        <v>8850092257453</v>
      </c>
      <c r="G465" s="5" t="str">
        <f>IFERROR(__xludf.DUMMYFUNCTION("""COMPUTED_VALUE"""),"ไฮยีนซักผ้าเข้มข้นซันไรส์คิส600ml")</f>
        <v>ไฮยีนซักผ้าเข้มข้นซันไรส์คิส600ml</v>
      </c>
      <c r="H465" s="7">
        <f>IFERROR(__xludf.DUMMYFUNCTION("""COMPUTED_VALUE"""),65.0)</f>
        <v>65</v>
      </c>
      <c r="I465" s="7">
        <f>IFERROR(__xludf.DUMMYFUNCTION("""COMPUTED_VALUE"""),55.0)</f>
        <v>55</v>
      </c>
      <c r="J465" s="5"/>
    </row>
    <row r="466">
      <c r="A466" s="5"/>
      <c r="B466" s="6" t="str">
        <f>IFERROR(__xludf.DUMMYFUNCTION("""COMPUTED_VALUE"""),"4210028215010201")</f>
        <v>4210028215010201</v>
      </c>
      <c r="C466" s="5" t="str">
        <f>IFERROR(__xludf.DUMMYFUNCTION("""COMPUTED_VALUE"""),"ผลิตภัณฑ์เปลี่ยนสีผม เปลี่ยนสีผมสีแฟชั่น คุณภาพดี บรรจุกล่อง ปริมาณ 50 มล. ตรา Dcash รุ่น master")</f>
        <v>ผลิตภัณฑ์เปลี่ยนสีผม เปลี่ยนสีผมสีแฟชั่น คุณภาพดี บรรจุกล่อง ปริมาณ 50 มล. ตรา Dcash รุ่น master</v>
      </c>
      <c r="D466" s="5"/>
      <c r="E466" s="5"/>
      <c r="F466" s="5">
        <f>IFERROR(__xludf.DUMMYFUNCTION("""COMPUTED_VALUE"""),8.851144281297E12)</f>
        <v>8851144281297</v>
      </c>
      <c r="G466" s="5" t="str">
        <f>IFERROR(__xludf.DUMMYFUNCTION("""COMPUTED_VALUE"""),"ดีแคชมาสเตอร์แมสสีผมบลอนดหม่น(HB907)50ML")</f>
        <v>ดีแคชมาสเตอร์แมสสีผมบลอนดหม่น(HB907)50ML</v>
      </c>
      <c r="H466" s="7">
        <f>IFERROR(__xludf.DUMMYFUNCTION("""COMPUTED_VALUE"""),69.0)</f>
        <v>69</v>
      </c>
      <c r="I466" s="7"/>
      <c r="J466" s="5"/>
    </row>
    <row r="467">
      <c r="A467" s="5"/>
      <c r="B467" s="6" t="str">
        <f>IFERROR(__xludf.DUMMYFUNCTION("""COMPUTED_VALUE"""),"4210028214010101")</f>
        <v>4210028214010101</v>
      </c>
      <c r="C467" s="5" t="str">
        <f>IFERROR(__xludf.DUMMYFUNCTION("""COMPUTED_VALUE"""),"ผลิตภัณฑ์เปลี่ยนสีผม เปลี่ยนสีผมสีแฟชั่น คุณภาพดี บรรจุกล่อง ปริมาณ100 กรัม ตรา ฟาร์เกอร์")</f>
        <v>ผลิตภัณฑ์เปลี่ยนสีผม เปลี่ยนสีผมสีแฟชั่น คุณภาพดี บรรจุกล่อง ปริมาณ100 กรัม ตรา ฟาร์เกอร์</v>
      </c>
      <c r="D467" s="5"/>
      <c r="E467" s="5"/>
      <c r="F467" s="5">
        <f>IFERROR(__xludf.DUMMYFUNCTION("""COMPUTED_VALUE"""),8.858875700615E12)</f>
        <v>8858875700615</v>
      </c>
      <c r="G467" s="5" t="str">
        <f>IFERROR(__xludf.DUMMYFUNCTION("""COMPUTED_VALUE"""),"ฟาเกอร์ครีมสีผมบลอนด์เขียว(8/7)100ml")</f>
        <v>ฟาเกอร์ครีมสีผมบลอนด์เขียว(8/7)100ml</v>
      </c>
      <c r="H467" s="7">
        <f>IFERROR(__xludf.DUMMYFUNCTION("""COMPUTED_VALUE"""),69.0)</f>
        <v>69</v>
      </c>
      <c r="I467" s="7">
        <f>IFERROR(__xludf.DUMMYFUNCTION("""COMPUTED_VALUE"""),65.0)</f>
        <v>65</v>
      </c>
      <c r="J467" s="5"/>
    </row>
    <row r="468">
      <c r="A468" s="5"/>
      <c r="B468" s="6" t="str">
        <f>IFERROR(__xludf.DUMMYFUNCTION("""COMPUTED_VALUE"""),"4210028111050401")</f>
        <v>4210028111050401</v>
      </c>
      <c r="C468" s="5" t="str">
        <f>IFERROR(__xludf.DUMMYFUNCTION("""COMPUTED_VALUE"""),"ผลิตภัณฑ์เปลี่ยนสีผม ชนิดแชมพูปิดผมขาว คุณภาพดี บรรจุกล่อง ปริมาณ 30 กรัม ตรา โลแลน Lolane Grey Coverage shampoo")</f>
        <v>ผลิตภัณฑ์เปลี่ยนสีผม ชนิดแชมพูปิดผมขาว คุณภาพดี บรรจุกล่อง ปริมาณ 30 กรัม ตรา โลแลน Lolane Grey Coverage shampoo</v>
      </c>
      <c r="D468" s="5"/>
      <c r="E468" s="5"/>
      <c r="F468" s="5">
        <f>IFERROR(__xludf.DUMMYFUNCTION("""COMPUTED_VALUE"""),8.850460990623E12)</f>
        <v>8850460990623</v>
      </c>
      <c r="G468" s="5" t="str">
        <f>IFERROR(__xludf.DUMMYFUNCTION("""COMPUTED_VALUE"""),"โลแลนแชมพูปิดผมขาวสีน้ำตาลเข้ม(N2)30ml")</f>
        <v>โลแลนแชมพูปิดผมขาวสีน้ำตาลเข้ม(N2)30ml</v>
      </c>
      <c r="H468" s="7">
        <f>IFERROR(__xludf.DUMMYFUNCTION("""COMPUTED_VALUE"""),79.0)</f>
        <v>79</v>
      </c>
      <c r="I468" s="7">
        <f>IFERROR(__xludf.DUMMYFUNCTION("""COMPUTED_VALUE"""),69.0)</f>
        <v>69</v>
      </c>
      <c r="J468" s="5"/>
    </row>
    <row r="469">
      <c r="A469" s="5"/>
      <c r="B469" s="6" t="str">
        <f>IFERROR(__xludf.DUMMYFUNCTION("""COMPUTED_VALUE"""),"4210028111080101")</f>
        <v>4210028111080101</v>
      </c>
      <c r="C469" s="5" t="str">
        <f>IFERROR(__xludf.DUMMYFUNCTION("""COMPUTED_VALUE"""),"ผลิตภัณฑ์เปลี่ยนสีผม ชนิดแชมพูปิดผมขาว คุณภาพดี บรรจุกล่อง ปริมาณ 45 g ตราโลแลน รุ่นคูลแอนด์อีซี่ (คละสี รหัสสีขึ้นด้วย M)")</f>
        <v>ผลิตภัณฑ์เปลี่ยนสีผม ชนิดแชมพูปิดผมขาว คุณภาพดี บรรจุกล่อง ปริมาณ 45 g ตราโลแลน รุ่นคูลแอนด์อีซี่ (คละสี รหัสสีขึ้นด้วย M)</v>
      </c>
      <c r="D469" s="5"/>
      <c r="E469" s="5"/>
      <c r="F469" s="5">
        <f>IFERROR(__xludf.DUMMYFUNCTION("""COMPUTED_VALUE"""),8.850460989528E12)</f>
        <v>8850460989528</v>
      </c>
      <c r="G469" s="5" t="str">
        <f>IFERROR(__xludf.DUMMYFUNCTION("""COMPUTED_VALUE"""),"โลแลนCool&amp;easyน้ำตาลทองแดง M05 45g")</f>
        <v>โลแลนCool&amp;easyน้ำตาลทองแดง M05 45g</v>
      </c>
      <c r="H469" s="7">
        <f>IFERROR(__xludf.DUMMYFUNCTION("""COMPUTED_VALUE"""),52.0)</f>
        <v>52</v>
      </c>
      <c r="I469" s="7"/>
      <c r="J469" s="5"/>
    </row>
    <row r="470">
      <c r="A470" s="5"/>
      <c r="B470" s="6" t="str">
        <f>IFERROR(__xludf.DUMMYFUNCTION("""COMPUTED_VALUE"""),"4210028111050101")</f>
        <v>4210028111050101</v>
      </c>
      <c r="C470" s="5" t="str">
        <f>IFERROR(__xludf.DUMMYFUNCTION("""COMPUTED_VALUE"""),"ผลิตภัณฑ์เปลี่ยนสีผม ชนิดแชมพูปิดผมขาว คุณภาพดี บรรจุซอง ปริมาณ 30 กรัม ตรา OK Herbal คละสี")</f>
        <v>ผลิตภัณฑ์เปลี่ยนสีผม ชนิดแชมพูปิดผมขาว คุณภาพดี บรรจุซอง ปริมาณ 30 กรัม ตรา OK Herbal คละสี</v>
      </c>
      <c r="D470" s="5"/>
      <c r="E470" s="5"/>
      <c r="F470" s="5">
        <f>IFERROR(__xludf.DUMMYFUNCTION("""COMPUTED_VALUE"""),8.851826670203E12)</f>
        <v>8851826670203</v>
      </c>
      <c r="G470" s="5" t="str">
        <f>IFERROR(__xludf.DUMMYFUNCTION("""COMPUTED_VALUE"""),"โอเคเฮอเบิลแชมพูปิดผมขาวน้ำตาลเข้ม30ml")</f>
        <v>โอเคเฮอเบิลแชมพูปิดผมขาวน้ำตาลเข้ม30ml</v>
      </c>
      <c r="H470" s="7">
        <f>IFERROR(__xludf.DUMMYFUNCTION("""COMPUTED_VALUE"""),49.0)</f>
        <v>49</v>
      </c>
      <c r="I470" s="7"/>
      <c r="J470" s="5"/>
    </row>
    <row r="471">
      <c r="A471" s="5"/>
      <c r="B471" s="6" t="str">
        <f>IFERROR(__xludf.DUMMYFUNCTION("""COMPUTED_VALUE"""),"4210028111050701")</f>
        <v>4210028111050701</v>
      </c>
      <c r="C471" s="5" t="str">
        <f>IFERROR(__xludf.DUMMYFUNCTION("""COMPUTED_VALUE"""),"ผลิตภัณฑ์เปลี่ยนสีผม ชนิดแชมพูปิดผมขาว คุณภาพดี บรรจุซอง ปริมาณ 30 กรัม ตรา LYO")</f>
        <v>ผลิตภัณฑ์เปลี่ยนสีผม ชนิดแชมพูปิดผมขาว คุณภาพดี บรรจุซอง ปริมาณ 30 กรัม ตรา LYO</v>
      </c>
      <c r="D471" s="5"/>
      <c r="E471" s="5"/>
      <c r="F471" s="5">
        <f>IFERROR(__xludf.DUMMYFUNCTION("""COMPUTED_VALUE"""),8.859249702471E12)</f>
        <v>8859249702471</v>
      </c>
      <c r="G471" s="5" t="str">
        <f>IFERROR(__xludf.DUMMYFUNCTION("""COMPUTED_VALUE"""),"LYOแชมพูปิดผมขาวสีน้ำตาลเข้ม30มล.")</f>
        <v>LYOแชมพูปิดผมขาวสีน้ำตาลเข้ม30มล.</v>
      </c>
      <c r="H471" s="7">
        <f>IFERROR(__xludf.DUMMYFUNCTION("""COMPUTED_VALUE"""),59.0)</f>
        <v>59</v>
      </c>
      <c r="I471" s="7">
        <f>IFERROR(__xludf.DUMMYFUNCTION("""COMPUTED_VALUE"""),55.0)</f>
        <v>55</v>
      </c>
      <c r="J471" s="5"/>
    </row>
    <row r="472">
      <c r="A472" s="5"/>
      <c r="B472" s="6" t="str">
        <f>IFERROR(__xludf.DUMMYFUNCTION("""COMPUTED_VALUE"""),"4210028111130101")</f>
        <v>4210028111130101</v>
      </c>
      <c r="C472" s="5" t="str">
        <f>IFERROR(__xludf.DUMMYFUNCTION("""COMPUTED_VALUE"""),"ผลิตภัณฑ์เปลี่ยนสีผม ชนิดแชมพูปิดผมขาว คุณภาพดี บรรจุกล่อง ปริมาณ 37 มล. ตรา ชวาร์สคอป (Schwarzkopf) รุ่น Natural &amp; Easy (เนเชอรัล แอนด์ อีซี่)")</f>
        <v>ผลิตภัณฑ์เปลี่ยนสีผม ชนิดแชมพูปิดผมขาว คุณภาพดี บรรจุกล่อง ปริมาณ 37 มล. ตรา ชวาร์สคอป (Schwarzkopf) รุ่น Natural &amp; Easy (เนเชอรัล แอนด์ อีซี่)</v>
      </c>
      <c r="D472" s="5"/>
      <c r="E472" s="5"/>
      <c r="F472" s="5">
        <f>IFERROR(__xludf.DUMMYFUNCTION("""COMPUTED_VALUE"""),8.851332024293E12)</f>
        <v>8851332024293</v>
      </c>
      <c r="G472" s="5" t="str">
        <f>IFERROR(__xludf.DUMMYFUNCTION("""COMPUTED_VALUE"""),"ชวาร์สคอฟN&amp;Eแชมพูปิดผมขาวน้ำตาลเข้ม")</f>
        <v>ชวาร์สคอฟN&amp;Eแชมพูปิดผมขาวน้ำตาลเข้ม</v>
      </c>
      <c r="H472" s="7">
        <f>IFERROR(__xludf.DUMMYFUNCTION("""COMPUTED_VALUE"""),59.0)</f>
        <v>59</v>
      </c>
      <c r="I472" s="7"/>
      <c r="J472" s="5"/>
    </row>
    <row r="473">
      <c r="A473" s="5"/>
      <c r="B473" s="6" t="str">
        <f>IFERROR(__xludf.DUMMYFUNCTION("""COMPUTED_VALUE"""),"3600001211060301")</f>
        <v>3600001211060301</v>
      </c>
      <c r="C473" s="5" t="str">
        <f>IFERROR(__xludf.DUMMYFUNCTION("""COMPUTED_VALUE"""),"ผลิตภัณฑ์ซักผ้า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มิดไนท์ แฟนซี")</f>
        <v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มิดไนท์ แฟนซี</v>
      </c>
      <c r="D473" s="5"/>
      <c r="E473" s="5"/>
      <c r="F473" s="5">
        <f>IFERROR(__xludf.DUMMYFUNCTION("""COMPUTED_VALUE"""),8.851989033143E12)</f>
        <v>8851989033143</v>
      </c>
      <c r="G473" s="5" t="str">
        <f>IFERROR(__xludf.DUMMYFUNCTION("""COMPUTED_VALUE"""),"ไฟน์ไลน์ซักผ้าเข้มข้นดำ550ml")</f>
        <v>ไฟน์ไลน์ซักผ้าเข้มข้นดำ550ml</v>
      </c>
      <c r="H473" s="7">
        <f>IFERROR(__xludf.DUMMYFUNCTION("""COMPUTED_VALUE"""),89.0)</f>
        <v>89</v>
      </c>
      <c r="I473" s="7">
        <f>IFERROR(__xludf.DUMMYFUNCTION("""COMPUTED_VALUE"""),49.0)</f>
        <v>49</v>
      </c>
      <c r="J473" s="5"/>
    </row>
    <row r="474">
      <c r="A474" s="5"/>
      <c r="B474" s="6" t="str">
        <f>IFERROR(__xludf.DUMMYFUNCTION("""COMPUTED_VALUE"""),"3600001211060302")</f>
        <v>3600001211060302</v>
      </c>
      <c r="C474" s="5" t="str">
        <f>IFERROR(__xludf.DUMMYFUNCTION("""COMPUTED_VALUE"""),"ผลิตภัณฑ์ซักผ้า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กลิ่นมิราเคิลไนท์")</f>
        <v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กลิ่นมิราเคิลไนท์</v>
      </c>
      <c r="D474" s="5"/>
      <c r="E474" s="5"/>
      <c r="F474" s="5">
        <f>IFERROR(__xludf.DUMMYFUNCTION("""COMPUTED_VALUE"""),8.85198903315E12)</f>
        <v>8851989033150</v>
      </c>
      <c r="G474" s="5" t="str">
        <f>IFERROR(__xludf.DUMMYFUNCTION("""COMPUTED_VALUE"""),"ไฟน์ไลน์ซักผ้าเข้มข้นม่วง550ml")</f>
        <v>ไฟน์ไลน์ซักผ้าเข้มข้นม่วง550ml</v>
      </c>
      <c r="H474" s="7">
        <f>IFERROR(__xludf.DUMMYFUNCTION("""COMPUTED_VALUE"""),89.0)</f>
        <v>89</v>
      </c>
      <c r="I474" s="7">
        <f>IFERROR(__xludf.DUMMYFUNCTION("""COMPUTED_VALUE"""),49.0)</f>
        <v>49</v>
      </c>
      <c r="J474" s="5"/>
    </row>
    <row r="475">
      <c r="A475" s="5"/>
      <c r="B475" s="6" t="str">
        <f>IFERROR(__xludf.DUMMYFUNCTION("""COMPUTED_VALUE"""),"3600001211060307")</f>
        <v>3600001211060307</v>
      </c>
      <c r="C475" s="5" t="str">
        <f>IFERROR(__xludf.DUMMYFUNCTION("""COMPUTED_VALUE"""),"ผลิตภัณฑ์ซักผ้า (น้ำยาซักแห้ง) ชนิดน้ำ บรรจุถุงพลาสติก (รีฟิว) ขนาด 550 ม.ล. ตราไฟน์ไลน์ ซันนี่ โกลด์")</f>
        <v>ผลิตภัณฑ์ซักผ้า (น้ำยาซักแห้ง) ชนิดน้ำ บรรจุถุงพลาสติก (รีฟิว) ขนาด 550 ม.ล. ตราไฟน์ไลน์ ซันนี่ โกลด์</v>
      </c>
      <c r="D475" s="5"/>
      <c r="E475" s="5"/>
      <c r="F475" s="5">
        <f>IFERROR(__xludf.DUMMYFUNCTION("""COMPUTED_VALUE"""),8.851989033365E12)</f>
        <v>8851989033365</v>
      </c>
      <c r="G475" s="5" t="str">
        <f>IFERROR(__xludf.DUMMYFUNCTION("""COMPUTED_VALUE"""),"ไฟน์ไลน์ซักผ้าเข้มข้นพลัสทอง550ml")</f>
        <v>ไฟน์ไลน์ซักผ้าเข้มข้นพลัสทอง550ml</v>
      </c>
      <c r="H475" s="7">
        <f>IFERROR(__xludf.DUMMYFUNCTION("""COMPUTED_VALUE"""),89.0)</f>
        <v>89</v>
      </c>
      <c r="I475" s="7">
        <f>IFERROR(__xludf.DUMMYFUNCTION("""COMPUTED_VALUE"""),49.0)</f>
        <v>49</v>
      </c>
      <c r="J475" s="5"/>
    </row>
    <row r="476">
      <c r="A476" s="5"/>
      <c r="B476" s="6" t="str">
        <f>IFERROR(__xludf.DUMMYFUNCTION("""COMPUTED_VALUE"""),"4210020111130801")</f>
        <v>4210020111130801</v>
      </c>
      <c r="C476" s="5" t="str">
        <f>IFERROR(__xludf.DUMMYFUNCTION("""COMPUTED_VALUE"""),"แป้งผัดหน้า ชนิดอัดแข็ง บรรจุตลับ\ ขนาด 8 กรัม \ตรา ZENDORI UV OIL-FREE FOUNDATION POWDER SPF 12")</f>
        <v>แป้งผัดหน้า ชนิดอัดแข็ง บรรจุตลับ\ ขนาด 8 กรัม \ตรา ZENDORI UV OIL-FREE FOUNDATION POWDER SPF 12</v>
      </c>
      <c r="D476" s="5"/>
      <c r="E476" s="5"/>
      <c r="F476" s="5">
        <f>IFERROR(__xludf.DUMMYFUNCTION("""COMPUTED_VALUE"""),8.853204100012E12)</f>
        <v>8853204100012</v>
      </c>
      <c r="G476" s="5" t="str">
        <f>IFERROR(__xludf.DUMMYFUNCTION("""COMPUTED_VALUE"""),"300_เซนโดริ แป้งรองพื้นออยฟรี01")</f>
        <v>300_เซนโดริ แป้งรองพื้นออยฟรี01</v>
      </c>
      <c r="H476" s="7">
        <f>IFERROR(__xludf.DUMMYFUNCTION("""COMPUTED_VALUE"""),89.0)</f>
        <v>89</v>
      </c>
      <c r="I476" s="7"/>
      <c r="J476" s="5"/>
    </row>
    <row r="477">
      <c r="A477" s="5"/>
      <c r="B477" s="6" t="str">
        <f>IFERROR(__xludf.DUMMYFUNCTION("""COMPUTED_VALUE"""),"4210020111110101")</f>
        <v>4210020111110101</v>
      </c>
      <c r="C477" s="5" t="str">
        <f>IFERROR(__xludf.DUMMYFUNCTION("""COMPUTED_VALUE"""),"แป้งผัดหน้า ชนิดอัดแข็ง บรรจุตลับ\ ขนาด 3.5 กรัม \ตรา Sheene Oil Free Powder SPF 25 PA++")</f>
        <v>แป้งผัดหน้า ชนิดอัดแข็ง บรรจุตลับ\ ขนาด 3.5 กรัม \ตรา Sheene Oil Free Powder SPF 25 PA++</v>
      </c>
      <c r="D477" s="5"/>
      <c r="E477" s="5"/>
      <c r="F477" s="5">
        <f>IFERROR(__xludf.DUMMYFUNCTION("""COMPUTED_VALUE"""),8.852525367142E12)</f>
        <v>8852525367142</v>
      </c>
      <c r="G477" s="5" t="str">
        <f>IFERROR(__xludf.DUMMYFUNCTION("""COMPUTED_VALUE"""),"ชีนเน่ แป้งรองพื้นออยฟรีรีฟิว 3.5g")</f>
        <v>ชีนเน่ แป้งรองพื้นออยฟรีรีฟิว 3.5g</v>
      </c>
      <c r="H477" s="7">
        <f>IFERROR(__xludf.DUMMYFUNCTION("""COMPUTED_VALUE"""),59.0)</f>
        <v>59</v>
      </c>
      <c r="I477" s="7">
        <f>IFERROR(__xludf.DUMMYFUNCTION("""COMPUTED_VALUE"""),49.0)</f>
        <v>49</v>
      </c>
      <c r="J477" s="5"/>
    </row>
    <row r="478">
      <c r="A478" s="5"/>
      <c r="B478" s="6" t="str">
        <f>IFERROR(__xludf.DUMMYFUNCTION("""COMPUTED_VALUE"""),"4210020111110101")</f>
        <v>4210020111110101</v>
      </c>
      <c r="C478" s="5" t="str">
        <f>IFERROR(__xludf.DUMMYFUNCTION("""COMPUTED_VALUE"""),"แป้งผัดหน้า ชนิดอัดแข็ง บรรจุตลับ\ ขนาด 3.5 กรัม \ตรา Sheene Oil Free Powder SPF 25 PA+++")</f>
        <v>แป้งผัดหน้า ชนิดอัดแข็ง บรรจุตลับ\ ขนาด 3.5 กรัม \ตรา Sheene Oil Free Powder SPF 25 PA+++</v>
      </c>
      <c r="D478" s="5"/>
      <c r="E478" s="5"/>
      <c r="F478" s="5">
        <f>IFERROR(__xludf.DUMMYFUNCTION("""COMPUTED_VALUE"""),8.852525527577E12)</f>
        <v>8852525527577</v>
      </c>
      <c r="G478" s="5" t="str">
        <f>IFERROR(__xludf.DUMMYFUNCTION("""COMPUTED_VALUE"""),"300_ชีนเน่ แป้งรองพื้นออยฟรีทูโกC1")</f>
        <v>300_ชีนเน่ แป้งรองพื้นออยฟรีทูโกC1</v>
      </c>
      <c r="H478" s="7">
        <f>IFERROR(__xludf.DUMMYFUNCTION("""COMPUTED_VALUE"""),59.0)</f>
        <v>59</v>
      </c>
      <c r="I478" s="7"/>
      <c r="J478" s="5"/>
    </row>
    <row r="479">
      <c r="A479" s="5"/>
      <c r="B479" s="6" t="str">
        <f>IFERROR(__xludf.DUMMYFUNCTION("""COMPUTED_VALUE"""),"4210020111011401")</f>
        <v>4210020111011401</v>
      </c>
      <c r="C479" s="5" t="str">
        <f>IFERROR(__xludf.DUMMYFUNCTION("""COMPUTED_VALUE"""),"แป้งผัดหน้า ชนิดอัดแข็ง บรรจุตลับ \ ขนาด 10 กรัม \ ตรา Chaonang Perfect Bright UV 2Way Powder Foundation")</f>
        <v>แป้งผัดหน้า ชนิดอัดแข็ง บรรจุตลับ \ ขนาด 10 กรัม \ ตรา Chaonang Perfect Bright UV 2Way Powder Foundation</v>
      </c>
      <c r="D479" s="5"/>
      <c r="E479" s="5"/>
      <c r="F479" s="5">
        <f>IFERROR(__xludf.DUMMYFUNCTION("""COMPUTED_VALUE"""),8.857200237727E12)</f>
        <v>8857200237727</v>
      </c>
      <c r="G479" s="5" t="str">
        <f>IFERROR(__xludf.DUMMYFUNCTION("""COMPUTED_VALUE"""),"เจ้านาง แป้งรองพื้นSPF20(2) 10g")</f>
        <v>เจ้านาง แป้งรองพื้นSPF20(2) 10g</v>
      </c>
      <c r="H479" s="7">
        <f>IFERROR(__xludf.DUMMYFUNCTION("""COMPUTED_VALUE"""),399.0)</f>
        <v>399</v>
      </c>
      <c r="I479" s="7">
        <f>IFERROR(__xludf.DUMMYFUNCTION("""COMPUTED_VALUE"""),385.0)</f>
        <v>385</v>
      </c>
      <c r="J479" s="5"/>
    </row>
    <row r="480">
      <c r="A480" s="5"/>
      <c r="B480" s="6" t="str">
        <f>IFERROR(__xludf.DUMMYFUNCTION("""COMPUTED_VALUE"""),"4210020111040801")</f>
        <v>4210020111040801</v>
      </c>
      <c r="C480" s="5" t="str">
        <f>IFERROR(__xludf.DUMMYFUNCTION("""COMPUTED_VALUE"""),"แป้งผัดหน้า ชนิดอัดแข็ง บรรจุตลับ\ ขนาด 12 กรัม\ ตรา Royal Beauty Magic Matte Powder")</f>
        <v>แป้งผัดหน้า ชนิดอัดแข็ง บรรจุตลับ\ ขนาด 12 กรัม\ ตรา Royal Beauty Magic Matte Powder</v>
      </c>
      <c r="D480" s="5"/>
      <c r="E480" s="5"/>
      <c r="F480" s="5">
        <f>IFERROR(__xludf.DUMMYFUNCTION("""COMPUTED_VALUE"""),8.852526892346E12)</f>
        <v>8852526892346</v>
      </c>
      <c r="G480" s="5" t="str">
        <f>IFERROR(__xludf.DUMMYFUNCTION("""COMPUTED_VALUE"""),"รอยัลบิวตี้แป้งรองพื้นเนื้อแมทท์02 12g")</f>
        <v>รอยัลบิวตี้แป้งรองพื้นเนื้อแมทท์02 12g</v>
      </c>
      <c r="H480" s="7">
        <f>IFERROR(__xludf.DUMMYFUNCTION("""COMPUTED_VALUE"""),139.0)</f>
        <v>139</v>
      </c>
      <c r="I480" s="7">
        <f>IFERROR(__xludf.DUMMYFUNCTION("""COMPUTED_VALUE"""),132.0)</f>
        <v>132</v>
      </c>
      <c r="J480" s="5"/>
    </row>
    <row r="481">
      <c r="A481" s="5"/>
      <c r="B481" s="6" t="str">
        <f>IFERROR(__xludf.DUMMYFUNCTION("""COMPUTED_VALUE"""),"4210027111020205")</f>
        <v>4210027111020205</v>
      </c>
      <c r="C481" s="5" t="str">
        <f>IFERROR(__xludf.DUMMYFUNCTION("""COMPUTED_VALUE"""),"น้ำยาบ้วนปาก ชนิดน้ำ บรรจุขวดพลาสติก ขนาด 250 มล. ตรา Listerine กลิ่น Total Care 10 in 1 Benefits")</f>
        <v>น้ำยาบ้วนปาก ชนิดน้ำ บรรจุขวดพลาสติก ขนาด 250 มล. ตรา Listerine กลิ่น Total Care 10 in 1 Benefits</v>
      </c>
      <c r="D481" s="5"/>
      <c r="E481" s="5"/>
      <c r="F481" s="5">
        <f>IFERROR(__xludf.DUMMYFUNCTION("""COMPUTED_VALUE"""),8.850007811022E12)</f>
        <v>8850007811022</v>
      </c>
      <c r="G481" s="5" t="str">
        <f>IFERROR(__xludf.DUMMYFUNCTION("""COMPUTED_VALUE"""),"PM_ลิสเตอรีนน้ำยาบ้วนปากโทเทิลแคร์250ml")</f>
        <v>PM_ลิสเตอรีนน้ำยาบ้วนปากโทเทิลแคร์250ml</v>
      </c>
      <c r="H481" s="7">
        <f>IFERROR(__xludf.DUMMYFUNCTION("""COMPUTED_VALUE"""),97.0)</f>
        <v>97</v>
      </c>
      <c r="I481" s="7"/>
      <c r="J481" s="5"/>
    </row>
    <row r="482">
      <c r="A482" s="5"/>
      <c r="B482" s="6" t="str">
        <f>IFERROR(__xludf.DUMMYFUNCTION("""COMPUTED_VALUE"""),"4210027111020103")</f>
        <v>4210027111020103</v>
      </c>
      <c r="C482" s="5" t="str">
        <f>IFERROR(__xludf.DUMMYFUNCTION("""COMPUTED_VALUE"""),"น้ำยาบ้วนปาก ชนิดน้ำ บรรจุขวดพลาสติก ขนาด 250 มล. ตรา Listerine กลิ่น Tartar Protect")</f>
        <v>น้ำยาบ้วนปาก ชนิดน้ำ บรรจุขวดพลาสติก ขนาด 250 มล. ตรา Listerine กลิ่น Tartar Protect</v>
      </c>
      <c r="D482" s="5"/>
      <c r="E482" s="5"/>
      <c r="F482" s="5">
        <f>IFERROR(__xludf.DUMMYFUNCTION("""COMPUTED_VALUE"""),8.850007811657E12)</f>
        <v>8850007811657</v>
      </c>
      <c r="G482" s="5" t="str">
        <f>IFERROR(__xludf.DUMMYFUNCTION("""COMPUTED_VALUE"""),"ลิสเตอรีนน้ำยาบ้วนปากทาร์ทาร์250ml")</f>
        <v>ลิสเตอรีนน้ำยาบ้วนปากทาร์ทาร์250ml</v>
      </c>
      <c r="H482" s="7">
        <f>IFERROR(__xludf.DUMMYFUNCTION("""COMPUTED_VALUE"""),97.0)</f>
        <v>97</v>
      </c>
      <c r="I482" s="7"/>
      <c r="J482" s="5"/>
    </row>
    <row r="483">
      <c r="A483" s="5"/>
      <c r="B483" s="6" t="str">
        <f>IFERROR(__xludf.DUMMYFUNCTION("""COMPUTED_VALUE"""),"4210027111010213")</f>
        <v>4210027111010213</v>
      </c>
      <c r="C483" s="5" t="str">
        <f>IFERROR(__xludf.DUMMYFUNCTION("""COMPUTED_VALUE"""),"น้ำยาบ้วนปาก ชนิดน้ำ บรรจุขวดพลาสติก ขนาด 500 มล. ตรา Colgate Plax Fruity")</f>
        <v>น้ำยาบ้วนปาก ชนิดน้ำ บรรจุขวดพลาสติก ขนาด 500 มล. ตรา Colgate Plax Fruity</v>
      </c>
      <c r="D483" s="5"/>
      <c r="E483" s="5"/>
      <c r="F483" s="5">
        <f>IFERROR(__xludf.DUMMYFUNCTION("""COMPUTED_VALUE"""),8.850006305201E12)</f>
        <v>8850006305201</v>
      </c>
      <c r="G483" s="5" t="str">
        <f>IFERROR(__xludf.DUMMYFUNCTION("""COMPUTED_VALUE"""),"คอลเกตน้ำยาบ้วนปากพลักซ์ฟรุ้ตตี้500ml")</f>
        <v>คอลเกตน้ำยาบ้วนปากพลักซ์ฟรุ้ตตี้500ml</v>
      </c>
      <c r="H483" s="7">
        <f>IFERROR(__xludf.DUMMYFUNCTION("""COMPUTED_VALUE"""),159.0)</f>
        <v>159</v>
      </c>
      <c r="I483" s="7"/>
      <c r="J483" s="5"/>
    </row>
    <row r="484">
      <c r="A484" s="5"/>
      <c r="B484" s="6" t="str">
        <f>IFERROR(__xludf.DUMMYFUNCTION("""COMPUTED_VALUE"""),"4210027112010101")</f>
        <v>4210027112010101</v>
      </c>
      <c r="C484" s="5" t="str">
        <f>IFERROR(__xludf.DUMMYFUNCTION("""COMPUTED_VALUE"""),"น้ำยาบ้วนปาก ชนิดน้ำ บรรจุขวดพลาสติก (แพ็คคู่) ขนาด 750 มล. ตรา Listerine กลิ่น Cool Mint")</f>
        <v>น้ำยาบ้วนปาก ชนิดน้ำ บรรจุขวดพลาสติก (แพ็คคู่) ขนาด 750 มล. ตรา Listerine กลิ่น Cool Mint</v>
      </c>
      <c r="D484" s="5"/>
      <c r="E484" s="5"/>
      <c r="F484" s="5">
        <f>IFERROR(__xludf.DUMMYFUNCTION("""COMPUTED_VALUE"""),8.850007814528E12)</f>
        <v>8850007814528</v>
      </c>
      <c r="G484" s="5" t="str">
        <f>IFERROR(__xludf.DUMMYFUNCTION("""COMPUTED_VALUE"""),"ลิสเตอรีนน้ำยาบ้วนปากคูลมิ้นท์750mlx2")</f>
        <v>ลิสเตอรีนน้ำยาบ้วนปากคูลมิ้นท์750mlx2</v>
      </c>
      <c r="H484" s="7">
        <f>IFERROR(__xludf.DUMMYFUNCTION("""COMPUTED_VALUE"""),249.0)</f>
        <v>249</v>
      </c>
      <c r="I484" s="7">
        <f>IFERROR(__xludf.DUMMYFUNCTION("""COMPUTED_VALUE"""),199.0)</f>
        <v>199</v>
      </c>
      <c r="J484" s="5"/>
    </row>
    <row r="485">
      <c r="A485" s="5"/>
      <c r="B485" s="6" t="str">
        <f>IFERROR(__xludf.DUMMYFUNCTION("""COMPUTED_VALUE"""),"4210027112010103")</f>
        <v>4210027112010103</v>
      </c>
      <c r="C485" s="5" t="str">
        <f>IFERROR(__xludf.DUMMYFUNCTION("""COMPUTED_VALUE"""),"น้ำยาบ้วนปาก ชนิดน้ำ บรรจุขวดพลาสติก (แพ็คคู่) ขนาด 750 มล. ตรา Listerine สูตร Tartar Protect")</f>
        <v>น้ำยาบ้วนปาก ชนิดน้ำ บรรจุขวดพลาสติก (แพ็คคู่) ขนาด 750 มล. ตรา Listerine สูตร Tartar Protect</v>
      </c>
      <c r="D485" s="5"/>
      <c r="E485" s="5"/>
      <c r="F485" s="5">
        <f>IFERROR(__xludf.DUMMYFUNCTION("""COMPUTED_VALUE"""),8.850007814757E12)</f>
        <v>8850007814757</v>
      </c>
      <c r="G485" s="5" t="str">
        <f>IFERROR(__xludf.DUMMYFUNCTION("""COMPUTED_VALUE"""),"ลิสเตอรีนน้ำยาบ้วนปากทาร์ทาร์750mlx2")</f>
        <v>ลิสเตอรีนน้ำยาบ้วนปากทาร์ทาร์750mlx2</v>
      </c>
      <c r="H485" s="7">
        <f>IFERROR(__xludf.DUMMYFUNCTION("""COMPUTED_VALUE"""),289.0)</f>
        <v>289</v>
      </c>
      <c r="I485" s="7">
        <f>IFERROR(__xludf.DUMMYFUNCTION("""COMPUTED_VALUE"""),269.0)</f>
        <v>269</v>
      </c>
      <c r="J485" s="5"/>
    </row>
    <row r="486">
      <c r="A486" s="5"/>
      <c r="B486" s="6" t="str">
        <f>IFERROR(__xludf.DUMMYFUNCTION("""COMPUTED_VALUE"""),"4210030111060102")</f>
        <v>4210030111060102</v>
      </c>
      <c r="C486" s="5" t="str">
        <f>IFERROR(__xludf.DUMMYFUNCTION("""COMPUTED_VALUE"""),"ผลิตภัณฑ์รองพื้น ชนิดครีม บรรจุหลอด ปริมาณ 50 มล. ตรา เคทีดอลล์ รุ่น CC Cream Speed White")</f>
        <v>ผลิตภัณฑ์รองพื้น ชนิดครีม บรรจุหลอด ปริมาณ 50 มล. ตรา เคทีดอลล์ รุ่น CC Cream Speed White</v>
      </c>
      <c r="D486" s="5"/>
      <c r="E486" s="5"/>
      <c r="F486" s="5">
        <f>IFERROR(__xludf.DUMMYFUNCTION("""COMPUTED_VALUE"""),8.858842010037E12)</f>
        <v>8858842010037</v>
      </c>
      <c r="G486" s="5" t="str">
        <f>IFERROR(__xludf.DUMMYFUNCTION("""COMPUTED_VALUE"""),"เคที่ดอลล์ ซีซีสปีดไวท์1 50g")</f>
        <v>เคที่ดอลล์ ซีซีสปีดไวท์1 50g</v>
      </c>
      <c r="H486" s="7">
        <f>IFERROR(__xludf.DUMMYFUNCTION("""COMPUTED_VALUE"""),169.0)</f>
        <v>169</v>
      </c>
      <c r="I486" s="7"/>
      <c r="J486" s="5"/>
    </row>
    <row r="487">
      <c r="A487" s="5"/>
      <c r="B487" s="6" t="str">
        <f>IFERROR(__xludf.DUMMYFUNCTION("""COMPUTED_VALUE"""),"4210030311010502")</f>
        <v>4210030311010502</v>
      </c>
      <c r="C487" s="5" t="str">
        <f>IFERROR(__xludf.DUMMYFUNCTION("""COMPUTED_VALUE"""),"ผลิตภัณฑ์รองพื้น ชนิดครีม บรรจุซอง ปริมาณ 5 มล. ตรา Cute Press รุ่น Evory Snow Ultralight Foundation SPF30 PA+++")</f>
        <v>ผลิตภัณฑ์รองพื้น ชนิดครีม บรรจุซอง ปริมาณ 5 มล. ตรา Cute Press รุ่น Evory Snow Ultralight Foundation SPF30 PA+++</v>
      </c>
      <c r="D487" s="5"/>
      <c r="E487" s="5"/>
      <c r="F487" s="5">
        <f>IFERROR(__xludf.DUMMYFUNCTION("""COMPUTED_VALUE"""),8.850080754223E12)</f>
        <v>8850080754223</v>
      </c>
      <c r="G487" s="5" t="str">
        <f>IFERROR(__xludf.DUMMYFUNCTION("""COMPUTED_VALUE"""),"คิวท์เพรสรองพื้นสโนว์(N1)5g")</f>
        <v>คิวท์เพรสรองพื้นสโนว์(N1)5g</v>
      </c>
      <c r="H487" s="7">
        <f>IFERROR(__xludf.DUMMYFUNCTION("""COMPUTED_VALUE"""),49.0)</f>
        <v>49</v>
      </c>
      <c r="I487" s="7"/>
      <c r="J487" s="5"/>
    </row>
    <row r="488">
      <c r="A488" s="5"/>
      <c r="B488" s="6" t="str">
        <f>IFERROR(__xludf.DUMMYFUNCTION("""COMPUTED_VALUE"""),"4210030311020102")</f>
        <v>4210030311020102</v>
      </c>
      <c r="C488" s="5" t="str">
        <f>IFERROR(__xludf.DUMMYFUNCTION("""COMPUTED_VALUE"""),"ผลิตภัณฑ์รองพื้น ชนิดครีม บรรจุซอง ปริมาณ 6 มล. ตรา ศรีจันทร์ (SRICHAND) รุ่น Super Coverage Always Matte Foundation")</f>
        <v>ผลิตภัณฑ์รองพื้น ชนิดครีม บรรจุซอง ปริมาณ 6 มล. ตรา ศรีจันทร์ (SRICHAND) รุ่น Super Coverage Always Matte Foundation</v>
      </c>
      <c r="D488" s="5"/>
      <c r="E488" s="5"/>
      <c r="F488" s="5">
        <f>IFERROR(__xludf.DUMMYFUNCTION("""COMPUTED_VALUE"""),8.858696814508E12)</f>
        <v>8858696814508</v>
      </c>
      <c r="G488" s="5" t="str">
        <f>IFERROR(__xludf.DUMMYFUNCTION("""COMPUTED_VALUE"""),"ศรีจันทร์รองพื้นซูเปอร์คัฟเวอเรจ120 6ml")</f>
        <v>ศรีจันทร์รองพื้นซูเปอร์คัฟเวอเรจ120 6ml</v>
      </c>
      <c r="H488" s="7">
        <f>IFERROR(__xludf.DUMMYFUNCTION("""COMPUTED_VALUE"""),49.0)</f>
        <v>49</v>
      </c>
      <c r="I488" s="7"/>
      <c r="J488" s="5"/>
    </row>
    <row r="489">
      <c r="A489" s="5"/>
      <c r="B489" s="6" t="str">
        <f>IFERROR(__xludf.DUMMYFUNCTION("""COMPUTED_VALUE"""),"1230015811010102")</f>
        <v>1230015811010102</v>
      </c>
      <c r="C489" s="5" t="str">
        <f>IFERROR(__xludf.DUMMYFUNCTION("""COMPUTED_VALUE"""),"เกี๊ยวกุ้ง\ รสต้มยำ\ บรรจุกล่องพลาสติก\ ปริมาณ 115 กรัม \ตรา CP")</f>
        <v>เกี๊ยวกุ้ง\ รสต้มยำ\ บรรจุกล่องพลาสติก\ ปริมาณ 115 กรัม \ตรา CP</v>
      </c>
      <c r="D489" s="5"/>
      <c r="E489" s="5"/>
      <c r="F489" s="5">
        <f>IFERROR(__xludf.DUMMYFUNCTION("""COMPUTED_VALUE"""),8.850653923438E12)</f>
        <v>8850653923438</v>
      </c>
      <c r="G489" s="5" t="str">
        <f>IFERROR(__xludf.DUMMYFUNCTION("""COMPUTED_VALUE"""),"CP2_ซีพีเกี๊ยวกุ้งรสต้มยำ143g")</f>
        <v>CP2_ซีพีเกี๊ยวกุ้งรสต้มยำ143g</v>
      </c>
      <c r="H489" s="7">
        <f>IFERROR(__xludf.DUMMYFUNCTION("""COMPUTED_VALUE"""),69.0)</f>
        <v>69</v>
      </c>
      <c r="I489" s="7"/>
      <c r="J489" s="5"/>
    </row>
    <row r="490">
      <c r="B490" s="6"/>
      <c r="H490" s="7"/>
      <c r="I490" s="7"/>
    </row>
    <row r="491">
      <c r="B491" s="6"/>
      <c r="H491" s="7"/>
      <c r="I491" s="7"/>
    </row>
    <row r="492">
      <c r="B492" s="6"/>
      <c r="H492" s="7"/>
      <c r="I492" s="7"/>
    </row>
    <row r="493">
      <c r="B493" s="6"/>
      <c r="H493" s="7"/>
      <c r="I493" s="7"/>
    </row>
    <row r="494">
      <c r="B494" s="6"/>
      <c r="H494" s="7"/>
      <c r="I494" s="7"/>
    </row>
    <row r="495">
      <c r="B495" s="6"/>
      <c r="H495" s="7"/>
      <c r="I495" s="7"/>
    </row>
    <row r="496">
      <c r="B496" s="6"/>
      <c r="H496" s="7"/>
      <c r="I496" s="7"/>
    </row>
    <row r="497">
      <c r="B497" s="6"/>
      <c r="H497" s="7"/>
      <c r="I497" s="7"/>
    </row>
    <row r="498">
      <c r="B498" s="6"/>
      <c r="H498" s="7"/>
      <c r="I498" s="7"/>
    </row>
    <row r="499">
      <c r="B499" s="6"/>
      <c r="H499" s="7"/>
      <c r="I499" s="7"/>
    </row>
    <row r="500">
      <c r="B500" s="6"/>
      <c r="H500" s="7"/>
      <c r="I500" s="7"/>
    </row>
    <row r="501">
      <c r="B501" s="6"/>
      <c r="H501" s="7"/>
      <c r="I501" s="7"/>
    </row>
    <row r="502">
      <c r="B502" s="6"/>
      <c r="H502" s="7"/>
      <c r="I502" s="7"/>
    </row>
    <row r="503">
      <c r="B503" s="6"/>
      <c r="H503" s="7"/>
      <c r="I503" s="7"/>
    </row>
    <row r="504">
      <c r="B504" s="6"/>
      <c r="H504" s="7"/>
      <c r="I504" s="7"/>
    </row>
    <row r="505">
      <c r="B505" s="6"/>
      <c r="H505" s="7"/>
      <c r="I505" s="7"/>
    </row>
    <row r="506">
      <c r="B506" s="6"/>
      <c r="H506" s="7"/>
      <c r="I506" s="7"/>
    </row>
    <row r="507">
      <c r="B507" s="6"/>
      <c r="H507" s="7"/>
      <c r="I507" s="7"/>
    </row>
    <row r="508">
      <c r="B508" s="6"/>
      <c r="H508" s="7"/>
      <c r="I508" s="7"/>
    </row>
    <row r="509">
      <c r="B509" s="6"/>
      <c r="H509" s="7"/>
      <c r="I509" s="7"/>
    </row>
    <row r="510">
      <c r="B510" s="6"/>
      <c r="H510" s="7"/>
      <c r="I510" s="7"/>
    </row>
    <row r="511">
      <c r="B511" s="6"/>
      <c r="H511" s="7"/>
      <c r="I511" s="7"/>
    </row>
    <row r="512">
      <c r="B512" s="6"/>
      <c r="H512" s="7"/>
      <c r="I512" s="7"/>
    </row>
    <row r="513">
      <c r="B513" s="6"/>
      <c r="H513" s="7"/>
      <c r="I513" s="7"/>
    </row>
    <row r="514">
      <c r="B514" s="6"/>
      <c r="H514" s="7"/>
      <c r="I514" s="7"/>
    </row>
    <row r="515">
      <c r="B515" s="6"/>
      <c r="H515" s="7"/>
      <c r="I515" s="7"/>
    </row>
    <row r="516">
      <c r="B516" s="6"/>
      <c r="H516" s="7"/>
      <c r="I516" s="7"/>
    </row>
    <row r="517">
      <c r="B517" s="6"/>
      <c r="H517" s="7"/>
      <c r="I517" s="7"/>
    </row>
    <row r="518">
      <c r="B518" s="6"/>
      <c r="H518" s="7"/>
      <c r="I518" s="7"/>
    </row>
    <row r="519">
      <c r="B519" s="6"/>
      <c r="H519" s="7"/>
      <c r="I519" s="7"/>
    </row>
    <row r="520">
      <c r="B520" s="6"/>
      <c r="H520" s="7"/>
      <c r="I520" s="7"/>
    </row>
    <row r="521">
      <c r="B521" s="6"/>
      <c r="H521" s="7"/>
      <c r="I521" s="7"/>
    </row>
    <row r="522">
      <c r="B522" s="6"/>
      <c r="H522" s="7"/>
      <c r="I522" s="7"/>
    </row>
    <row r="523">
      <c r="B523" s="6"/>
      <c r="H523" s="7"/>
      <c r="I523" s="7"/>
    </row>
    <row r="524">
      <c r="B524" s="6"/>
      <c r="H524" s="7"/>
      <c r="I524" s="7"/>
    </row>
    <row r="525">
      <c r="B525" s="6"/>
      <c r="H525" s="7"/>
      <c r="I525" s="7"/>
    </row>
    <row r="526">
      <c r="B526" s="6"/>
      <c r="H526" s="7"/>
      <c r="I526" s="7"/>
    </row>
    <row r="527">
      <c r="B527" s="6"/>
      <c r="H527" s="7"/>
      <c r="I527" s="7"/>
    </row>
    <row r="528">
      <c r="B528" s="6"/>
      <c r="H528" s="7"/>
      <c r="I528" s="7"/>
    </row>
    <row r="529">
      <c r="B529" s="6"/>
      <c r="H529" s="7"/>
      <c r="I529" s="7"/>
    </row>
    <row r="530">
      <c r="B530" s="6"/>
      <c r="H530" s="7"/>
      <c r="I530" s="7"/>
    </row>
    <row r="531">
      <c r="B531" s="6"/>
      <c r="H531" s="7"/>
      <c r="I531" s="7"/>
    </row>
    <row r="532">
      <c r="B532" s="6"/>
      <c r="H532" s="7"/>
      <c r="I532" s="7"/>
    </row>
    <row r="533">
      <c r="B533" s="6"/>
      <c r="H533" s="7"/>
      <c r="I533" s="7"/>
    </row>
    <row r="534">
      <c r="B534" s="6"/>
      <c r="H534" s="7"/>
      <c r="I534" s="7"/>
    </row>
    <row r="535">
      <c r="B535" s="6"/>
      <c r="H535" s="7"/>
      <c r="I535" s="7"/>
    </row>
    <row r="536">
      <c r="B536" s="6"/>
      <c r="H536" s="7"/>
      <c r="I536" s="7"/>
    </row>
    <row r="537">
      <c r="B537" s="6"/>
      <c r="H537" s="7"/>
      <c r="I537" s="7"/>
    </row>
    <row r="538">
      <c r="B538" s="6"/>
      <c r="H538" s="7"/>
      <c r="I538" s="7"/>
    </row>
    <row r="539">
      <c r="B539" s="6"/>
      <c r="H539" s="7"/>
      <c r="I539" s="7"/>
    </row>
    <row r="540">
      <c r="B540" s="6"/>
      <c r="H540" s="7"/>
      <c r="I540" s="7"/>
    </row>
    <row r="541">
      <c r="B541" s="6"/>
      <c r="H541" s="7"/>
      <c r="I541" s="7"/>
    </row>
    <row r="542">
      <c r="B542" s="6"/>
      <c r="H542" s="7"/>
      <c r="I542" s="7"/>
    </row>
    <row r="543">
      <c r="B543" s="6"/>
      <c r="H543" s="7"/>
      <c r="I543" s="7"/>
    </row>
    <row r="544">
      <c r="B544" s="6"/>
      <c r="H544" s="7"/>
      <c r="I544" s="7"/>
    </row>
    <row r="545">
      <c r="B545" s="6"/>
      <c r="H545" s="7"/>
      <c r="I545" s="7"/>
    </row>
    <row r="546">
      <c r="B546" s="6"/>
      <c r="H546" s="7"/>
      <c r="I546" s="7"/>
    </row>
    <row r="547">
      <c r="B547" s="6"/>
      <c r="H547" s="7"/>
      <c r="I547" s="7"/>
    </row>
    <row r="548">
      <c r="B548" s="6"/>
      <c r="H548" s="7"/>
      <c r="I548" s="7"/>
    </row>
    <row r="549">
      <c r="B549" s="6"/>
      <c r="H549" s="7"/>
      <c r="I549" s="7"/>
    </row>
    <row r="550">
      <c r="B550" s="6"/>
      <c r="H550" s="7"/>
      <c r="I550" s="7"/>
    </row>
    <row r="551">
      <c r="B551" s="6"/>
      <c r="H551" s="7"/>
      <c r="I551" s="7"/>
    </row>
    <row r="552">
      <c r="B552" s="6"/>
      <c r="H552" s="7"/>
      <c r="I552" s="7"/>
    </row>
    <row r="553">
      <c r="B553" s="6"/>
      <c r="H553" s="7"/>
      <c r="I553" s="7"/>
    </row>
    <row r="554">
      <c r="B554" s="6"/>
      <c r="H554" s="7"/>
      <c r="I554" s="7"/>
    </row>
    <row r="555">
      <c r="B555" s="6"/>
      <c r="H555" s="7"/>
      <c r="I555" s="7"/>
    </row>
    <row r="556">
      <c r="B556" s="6"/>
      <c r="H556" s="7"/>
      <c r="I556" s="7"/>
    </row>
    <row r="557">
      <c r="B557" s="6"/>
      <c r="H557" s="7"/>
      <c r="I557" s="7"/>
    </row>
    <row r="558">
      <c r="B558" s="6"/>
      <c r="H558" s="7"/>
      <c r="I558" s="7"/>
    </row>
    <row r="559">
      <c r="B559" s="6"/>
      <c r="H559" s="7"/>
      <c r="I559" s="7"/>
    </row>
    <row r="560">
      <c r="B560" s="6"/>
      <c r="H560" s="7"/>
      <c r="I560" s="7"/>
    </row>
    <row r="561">
      <c r="B561" s="6"/>
      <c r="H561" s="7"/>
      <c r="I561" s="7"/>
    </row>
    <row r="562">
      <c r="B562" s="6"/>
      <c r="H562" s="7"/>
      <c r="I562" s="7"/>
    </row>
    <row r="563">
      <c r="B563" s="6"/>
      <c r="H563" s="7"/>
      <c r="I563" s="7"/>
    </row>
    <row r="564">
      <c r="B564" s="6"/>
      <c r="H564" s="7"/>
      <c r="I564" s="7"/>
    </row>
    <row r="565">
      <c r="B565" s="6"/>
      <c r="H565" s="7"/>
      <c r="I565" s="7"/>
    </row>
    <row r="566">
      <c r="B566" s="6"/>
      <c r="H566" s="7"/>
      <c r="I566" s="7"/>
    </row>
    <row r="567">
      <c r="B567" s="6"/>
      <c r="H567" s="7"/>
      <c r="I567" s="7"/>
    </row>
    <row r="568">
      <c r="B568" s="6"/>
      <c r="H568" s="7"/>
      <c r="I568" s="7"/>
    </row>
    <row r="569">
      <c r="B569" s="6"/>
      <c r="H569" s="7"/>
      <c r="I569" s="7"/>
    </row>
    <row r="570">
      <c r="B570" s="6"/>
      <c r="H570" s="7"/>
      <c r="I570" s="7"/>
    </row>
    <row r="571">
      <c r="B571" s="6"/>
      <c r="H571" s="7"/>
      <c r="I571" s="7"/>
    </row>
    <row r="572">
      <c r="B572" s="6"/>
      <c r="H572" s="7"/>
      <c r="I572" s="7"/>
    </row>
    <row r="573">
      <c r="B573" s="6"/>
      <c r="H573" s="7"/>
      <c r="I573" s="7"/>
    </row>
    <row r="574">
      <c r="B574" s="6"/>
      <c r="H574" s="7"/>
      <c r="I574" s="7"/>
    </row>
    <row r="575">
      <c r="B575" s="6"/>
      <c r="H575" s="7"/>
      <c r="I575" s="7"/>
    </row>
    <row r="576">
      <c r="B576" s="6"/>
      <c r="H576" s="7"/>
      <c r="I576" s="7"/>
    </row>
    <row r="577">
      <c r="B577" s="6"/>
      <c r="H577" s="7"/>
      <c r="I577" s="7"/>
    </row>
    <row r="578">
      <c r="B578" s="6"/>
      <c r="H578" s="7"/>
      <c r="I578" s="7"/>
    </row>
    <row r="579">
      <c r="B579" s="6"/>
      <c r="H579" s="7"/>
      <c r="I579" s="7"/>
    </row>
    <row r="580">
      <c r="B580" s="6"/>
      <c r="H580" s="7"/>
      <c r="I580" s="7"/>
    </row>
    <row r="581">
      <c r="B581" s="6"/>
      <c r="H581" s="7"/>
      <c r="I581" s="7"/>
    </row>
    <row r="582">
      <c r="B582" s="6"/>
      <c r="H582" s="7"/>
      <c r="I582" s="7"/>
    </row>
    <row r="583">
      <c r="B583" s="6"/>
      <c r="H583" s="7"/>
      <c r="I583" s="7"/>
    </row>
    <row r="584">
      <c r="B584" s="6"/>
      <c r="H584" s="7"/>
      <c r="I584" s="7"/>
    </row>
    <row r="585">
      <c r="B585" s="6"/>
      <c r="H585" s="7"/>
      <c r="I585" s="7"/>
    </row>
    <row r="586">
      <c r="B586" s="6"/>
      <c r="H586" s="7"/>
      <c r="I586" s="7"/>
    </row>
    <row r="587">
      <c r="B587" s="6"/>
      <c r="H587" s="7"/>
      <c r="I587" s="7"/>
    </row>
    <row r="588">
      <c r="B588" s="6"/>
      <c r="H588" s="7"/>
      <c r="I588" s="7"/>
    </row>
    <row r="589">
      <c r="B589" s="6"/>
      <c r="H589" s="7"/>
      <c r="I589" s="7"/>
    </row>
    <row r="590">
      <c r="B590" s="6"/>
      <c r="H590" s="7"/>
      <c r="I590" s="7"/>
    </row>
    <row r="591">
      <c r="B591" s="6"/>
      <c r="H591" s="7"/>
      <c r="I591" s="7"/>
    </row>
    <row r="592">
      <c r="B592" s="6"/>
      <c r="H592" s="7"/>
      <c r="I592" s="7"/>
    </row>
    <row r="593">
      <c r="B593" s="6"/>
      <c r="H593" s="7"/>
      <c r="I593" s="7"/>
    </row>
    <row r="594">
      <c r="B594" s="6"/>
      <c r="H594" s="7"/>
      <c r="I594" s="7"/>
    </row>
    <row r="595">
      <c r="B595" s="6"/>
      <c r="H595" s="7"/>
      <c r="I595" s="7"/>
    </row>
    <row r="596">
      <c r="B596" s="6"/>
      <c r="H596" s="7"/>
      <c r="I596" s="7"/>
    </row>
    <row r="597">
      <c r="B597" s="6"/>
      <c r="H597" s="7"/>
      <c r="I597" s="7"/>
    </row>
    <row r="598">
      <c r="B598" s="6"/>
      <c r="H598" s="7"/>
      <c r="I598" s="7"/>
    </row>
    <row r="599">
      <c r="B599" s="6"/>
      <c r="H599" s="7"/>
      <c r="I599" s="7"/>
    </row>
    <row r="600">
      <c r="B600" s="6"/>
      <c r="H600" s="7"/>
      <c r="I600" s="7"/>
    </row>
    <row r="601">
      <c r="B601" s="6"/>
      <c r="H601" s="7"/>
      <c r="I601" s="7"/>
    </row>
    <row r="602">
      <c r="B602" s="6"/>
      <c r="H602" s="7"/>
      <c r="I602" s="7"/>
    </row>
    <row r="603">
      <c r="B603" s="6"/>
      <c r="H603" s="7"/>
      <c r="I603" s="7"/>
    </row>
    <row r="604">
      <c r="B604" s="6"/>
      <c r="H604" s="7"/>
      <c r="I604" s="7"/>
    </row>
    <row r="605">
      <c r="B605" s="6"/>
      <c r="H605" s="7"/>
      <c r="I605" s="7"/>
    </row>
    <row r="606">
      <c r="B606" s="6"/>
      <c r="H606" s="7"/>
      <c r="I606" s="7"/>
    </row>
    <row r="607">
      <c r="B607" s="6"/>
      <c r="H607" s="7"/>
      <c r="I607" s="7"/>
    </row>
    <row r="608">
      <c r="B608" s="6"/>
      <c r="H608" s="7"/>
      <c r="I608" s="7"/>
    </row>
    <row r="609">
      <c r="B609" s="6"/>
      <c r="H609" s="7"/>
      <c r="I609" s="7"/>
    </row>
    <row r="610">
      <c r="B610" s="6"/>
      <c r="H610" s="7"/>
      <c r="I610" s="7"/>
    </row>
    <row r="611">
      <c r="B611" s="6"/>
      <c r="H611" s="7"/>
      <c r="I611" s="7"/>
    </row>
    <row r="612">
      <c r="B612" s="6"/>
      <c r="H612" s="7"/>
      <c r="I612" s="7"/>
    </row>
    <row r="613">
      <c r="B613" s="6"/>
      <c r="H613" s="7"/>
      <c r="I613" s="7"/>
    </row>
    <row r="614">
      <c r="B614" s="6"/>
      <c r="H614" s="7"/>
      <c r="I614" s="7"/>
    </row>
    <row r="615">
      <c r="B615" s="6"/>
      <c r="H615" s="7"/>
      <c r="I615" s="7"/>
    </row>
    <row r="616">
      <c r="B616" s="6"/>
      <c r="H616" s="7"/>
      <c r="I616" s="7"/>
    </row>
    <row r="617">
      <c r="B617" s="6"/>
      <c r="H617" s="7"/>
      <c r="I617" s="7"/>
    </row>
    <row r="618">
      <c r="B618" s="6"/>
      <c r="H618" s="7"/>
      <c r="I618" s="7"/>
    </row>
    <row r="619">
      <c r="B619" s="6"/>
      <c r="H619" s="7"/>
      <c r="I619" s="7"/>
    </row>
    <row r="620">
      <c r="B620" s="6"/>
      <c r="H620" s="7"/>
      <c r="I620" s="7"/>
    </row>
    <row r="621">
      <c r="B621" s="6"/>
      <c r="H621" s="7"/>
      <c r="I621" s="7"/>
    </row>
    <row r="622">
      <c r="B622" s="6"/>
      <c r="H622" s="7"/>
      <c r="I622" s="7"/>
    </row>
    <row r="623">
      <c r="B623" s="6"/>
      <c r="H623" s="7"/>
      <c r="I623" s="7"/>
    </row>
    <row r="624">
      <c r="B624" s="6"/>
      <c r="H624" s="7"/>
      <c r="I624" s="7"/>
    </row>
    <row r="625">
      <c r="B625" s="6"/>
      <c r="H625" s="7"/>
      <c r="I625" s="7"/>
    </row>
    <row r="626">
      <c r="B626" s="6"/>
      <c r="H626" s="7"/>
      <c r="I626" s="7"/>
    </row>
    <row r="627">
      <c r="B627" s="6"/>
      <c r="H627" s="7"/>
      <c r="I627" s="7"/>
    </row>
    <row r="628">
      <c r="B628" s="6"/>
      <c r="H628" s="7"/>
      <c r="I628" s="7"/>
    </row>
    <row r="629">
      <c r="B629" s="6"/>
      <c r="H629" s="7"/>
      <c r="I629" s="7"/>
    </row>
    <row r="630">
      <c r="B630" s="6"/>
      <c r="H630" s="7"/>
      <c r="I630" s="7"/>
    </row>
    <row r="631">
      <c r="B631" s="6"/>
      <c r="H631" s="7"/>
      <c r="I631" s="7"/>
    </row>
    <row r="632">
      <c r="B632" s="6"/>
      <c r="H632" s="7"/>
      <c r="I632" s="7"/>
    </row>
    <row r="633">
      <c r="B633" s="6"/>
      <c r="H633" s="7"/>
      <c r="I633" s="7"/>
    </row>
    <row r="634">
      <c r="B634" s="6"/>
      <c r="H634" s="7"/>
      <c r="I634" s="7"/>
    </row>
    <row r="635">
      <c r="B635" s="6"/>
      <c r="H635" s="7"/>
      <c r="I635" s="7"/>
    </row>
    <row r="636">
      <c r="B636" s="6"/>
      <c r="H636" s="7"/>
      <c r="I636" s="7"/>
    </row>
    <row r="637">
      <c r="B637" s="6"/>
      <c r="H637" s="7"/>
      <c r="I637" s="7"/>
    </row>
    <row r="638">
      <c r="B638" s="6"/>
      <c r="H638" s="7"/>
      <c r="I638" s="7"/>
    </row>
    <row r="639">
      <c r="B639" s="6"/>
      <c r="H639" s="7"/>
      <c r="I639" s="7"/>
    </row>
    <row r="640">
      <c r="B640" s="6"/>
      <c r="H640" s="7"/>
      <c r="I640" s="7"/>
    </row>
    <row r="641">
      <c r="B641" s="6"/>
      <c r="H641" s="7"/>
      <c r="I641" s="7"/>
    </row>
    <row r="642">
      <c r="B642" s="6"/>
      <c r="H642" s="7"/>
      <c r="I642" s="7"/>
    </row>
    <row r="643">
      <c r="B643" s="6"/>
      <c r="H643" s="7"/>
      <c r="I643" s="7"/>
    </row>
    <row r="644">
      <c r="B644" s="6"/>
      <c r="H644" s="7"/>
      <c r="I644" s="7"/>
    </row>
    <row r="645">
      <c r="B645" s="6"/>
      <c r="H645" s="7"/>
      <c r="I645" s="7"/>
    </row>
    <row r="646">
      <c r="B646" s="6"/>
      <c r="H646" s="7"/>
      <c r="I646" s="7"/>
    </row>
    <row r="647">
      <c r="B647" s="6"/>
      <c r="H647" s="7"/>
      <c r="I647" s="7"/>
    </row>
    <row r="648">
      <c r="B648" s="6"/>
      <c r="H648" s="7"/>
      <c r="I648" s="7"/>
    </row>
    <row r="649">
      <c r="B649" s="6"/>
      <c r="H649" s="7"/>
      <c r="I649" s="7"/>
    </row>
    <row r="650">
      <c r="B650" s="6"/>
      <c r="H650" s="7"/>
      <c r="I650" s="7"/>
    </row>
    <row r="651">
      <c r="B651" s="6"/>
      <c r="H651" s="7"/>
      <c r="I651" s="7"/>
    </row>
    <row r="652">
      <c r="B652" s="6"/>
      <c r="H652" s="7"/>
      <c r="I652" s="7"/>
    </row>
    <row r="653">
      <c r="B653" s="6"/>
      <c r="H653" s="7"/>
      <c r="I653" s="7"/>
    </row>
    <row r="654">
      <c r="B654" s="6"/>
      <c r="H654" s="7"/>
      <c r="I654" s="7"/>
    </row>
    <row r="655">
      <c r="B655" s="6"/>
      <c r="H655" s="7"/>
      <c r="I655" s="7"/>
    </row>
    <row r="656">
      <c r="B656" s="6"/>
      <c r="H656" s="7"/>
      <c r="I656" s="7"/>
    </row>
    <row r="657">
      <c r="B657" s="6"/>
      <c r="H657" s="7"/>
      <c r="I657" s="7"/>
    </row>
    <row r="658">
      <c r="B658" s="6"/>
      <c r="H658" s="7"/>
      <c r="I658" s="7"/>
    </row>
    <row r="659">
      <c r="B659" s="6"/>
      <c r="H659" s="7"/>
      <c r="I659" s="7"/>
    </row>
    <row r="660">
      <c r="B660" s="6"/>
      <c r="H660" s="7"/>
      <c r="I660" s="7"/>
    </row>
    <row r="661">
      <c r="B661" s="6"/>
      <c r="H661" s="7"/>
      <c r="I661" s="7"/>
    </row>
    <row r="662">
      <c r="B662" s="6"/>
      <c r="H662" s="7"/>
      <c r="I662" s="7"/>
    </row>
    <row r="663">
      <c r="B663" s="6"/>
      <c r="H663" s="7"/>
      <c r="I663" s="7"/>
    </row>
    <row r="664">
      <c r="B664" s="6"/>
      <c r="H664" s="7"/>
      <c r="I664" s="7"/>
    </row>
    <row r="665">
      <c r="B665" s="6"/>
      <c r="H665" s="7"/>
      <c r="I665" s="7"/>
    </row>
    <row r="666">
      <c r="B666" s="6"/>
      <c r="H666" s="7"/>
      <c r="I666" s="7"/>
    </row>
    <row r="667">
      <c r="B667" s="6"/>
      <c r="H667" s="7"/>
      <c r="I667" s="7"/>
    </row>
    <row r="668">
      <c r="B668" s="6"/>
      <c r="H668" s="7"/>
      <c r="I668" s="7"/>
    </row>
    <row r="669">
      <c r="B669" s="6"/>
      <c r="H669" s="7"/>
      <c r="I669" s="7"/>
    </row>
    <row r="670">
      <c r="B670" s="6"/>
      <c r="H670" s="7"/>
      <c r="I670" s="7"/>
    </row>
    <row r="671">
      <c r="B671" s="6"/>
      <c r="H671" s="7"/>
      <c r="I671" s="7"/>
    </row>
    <row r="672">
      <c r="B672" s="6"/>
      <c r="H672" s="7"/>
      <c r="I672" s="7"/>
    </row>
    <row r="673">
      <c r="B673" s="6"/>
      <c r="H673" s="7"/>
      <c r="I673" s="7"/>
    </row>
    <row r="674">
      <c r="B674" s="6"/>
      <c r="H674" s="7"/>
      <c r="I674" s="7"/>
    </row>
    <row r="675">
      <c r="B675" s="6"/>
      <c r="H675" s="7"/>
      <c r="I675" s="7"/>
    </row>
    <row r="676">
      <c r="B676" s="6"/>
      <c r="H676" s="7"/>
      <c r="I676" s="7"/>
    </row>
    <row r="677">
      <c r="B677" s="6"/>
      <c r="H677" s="7"/>
      <c r="I677" s="7"/>
    </row>
    <row r="678">
      <c r="B678" s="6"/>
      <c r="H678" s="7"/>
      <c r="I678" s="7"/>
    </row>
    <row r="679">
      <c r="B679" s="6"/>
      <c r="H679" s="7"/>
      <c r="I679" s="7"/>
    </row>
    <row r="680">
      <c r="B680" s="6"/>
      <c r="H680" s="7"/>
      <c r="I680" s="7"/>
    </row>
    <row r="681">
      <c r="B681" s="6"/>
      <c r="H681" s="7"/>
      <c r="I681" s="7"/>
    </row>
    <row r="682">
      <c r="B682" s="6"/>
      <c r="H682" s="7"/>
      <c r="I682" s="7"/>
    </row>
    <row r="683">
      <c r="B683" s="6"/>
      <c r="H683" s="7"/>
      <c r="I683" s="7"/>
    </row>
    <row r="684">
      <c r="B684" s="6"/>
      <c r="H684" s="7"/>
      <c r="I684" s="7"/>
    </row>
    <row r="685">
      <c r="B685" s="6"/>
      <c r="H685" s="7"/>
      <c r="I685" s="7"/>
    </row>
    <row r="686">
      <c r="B686" s="6"/>
      <c r="H686" s="7"/>
      <c r="I686" s="7"/>
    </row>
    <row r="687">
      <c r="B687" s="6"/>
      <c r="H687" s="7"/>
      <c r="I687" s="7"/>
    </row>
    <row r="688">
      <c r="B688" s="6"/>
      <c r="H688" s="7"/>
      <c r="I688" s="7"/>
    </row>
    <row r="689">
      <c r="B689" s="6"/>
      <c r="H689" s="7"/>
      <c r="I689" s="7"/>
    </row>
    <row r="690">
      <c r="B690" s="6"/>
      <c r="H690" s="7"/>
      <c r="I690" s="7"/>
    </row>
    <row r="691">
      <c r="B691" s="6"/>
      <c r="H691" s="7"/>
      <c r="I691" s="7"/>
    </row>
    <row r="692">
      <c r="B692" s="6"/>
      <c r="H692" s="7"/>
      <c r="I692" s="7"/>
    </row>
    <row r="693">
      <c r="B693" s="6"/>
      <c r="H693" s="7"/>
      <c r="I693" s="7"/>
    </row>
    <row r="694">
      <c r="B694" s="6"/>
      <c r="H694" s="7"/>
      <c r="I694" s="7"/>
    </row>
    <row r="695">
      <c r="B695" s="6"/>
      <c r="H695" s="7"/>
      <c r="I695" s="7"/>
    </row>
    <row r="696">
      <c r="B696" s="6"/>
      <c r="H696" s="7"/>
      <c r="I696" s="7"/>
    </row>
    <row r="697">
      <c r="B697" s="6"/>
      <c r="H697" s="7"/>
      <c r="I697" s="7"/>
    </row>
    <row r="698">
      <c r="B698" s="6"/>
      <c r="H698" s="7"/>
      <c r="I698" s="7"/>
    </row>
    <row r="699">
      <c r="B699" s="6"/>
      <c r="H699" s="7"/>
      <c r="I699" s="7"/>
    </row>
    <row r="700">
      <c r="B700" s="6"/>
      <c r="H700" s="7"/>
      <c r="I700" s="7"/>
    </row>
    <row r="701">
      <c r="B701" s="6"/>
      <c r="H701" s="7"/>
      <c r="I701" s="7"/>
    </row>
    <row r="702">
      <c r="B702" s="6"/>
      <c r="H702" s="7"/>
      <c r="I702" s="7"/>
    </row>
    <row r="703">
      <c r="B703" s="6"/>
      <c r="H703" s="7"/>
      <c r="I703" s="7"/>
    </row>
    <row r="704">
      <c r="B704" s="6"/>
      <c r="H704" s="7"/>
      <c r="I704" s="7"/>
    </row>
    <row r="705">
      <c r="B705" s="6"/>
      <c r="H705" s="7"/>
      <c r="I705" s="7"/>
    </row>
    <row r="706">
      <c r="B706" s="6"/>
      <c r="H706" s="7"/>
      <c r="I706" s="7"/>
    </row>
    <row r="707">
      <c r="B707" s="6"/>
      <c r="H707" s="7"/>
      <c r="I707" s="7"/>
    </row>
    <row r="708">
      <c r="B708" s="6"/>
      <c r="H708" s="7"/>
      <c r="I708" s="7"/>
    </row>
    <row r="709">
      <c r="B709" s="6"/>
      <c r="H709" s="7"/>
      <c r="I709" s="7"/>
    </row>
    <row r="710">
      <c r="B710" s="6"/>
      <c r="H710" s="7"/>
      <c r="I710" s="7"/>
    </row>
    <row r="711">
      <c r="B711" s="6"/>
      <c r="H711" s="7"/>
      <c r="I711" s="7"/>
    </row>
    <row r="712">
      <c r="B712" s="6"/>
      <c r="H712" s="7"/>
      <c r="I712" s="7"/>
    </row>
    <row r="713">
      <c r="B713" s="6"/>
      <c r="H713" s="7"/>
      <c r="I713" s="7"/>
    </row>
    <row r="714">
      <c r="B714" s="6"/>
      <c r="H714" s="7"/>
      <c r="I714" s="7"/>
    </row>
    <row r="715">
      <c r="B715" s="6"/>
      <c r="H715" s="7"/>
      <c r="I715" s="7"/>
    </row>
    <row r="716">
      <c r="B716" s="6"/>
      <c r="H716" s="7"/>
      <c r="I716" s="7"/>
    </row>
    <row r="717">
      <c r="B717" s="6"/>
      <c r="H717" s="7"/>
      <c r="I717" s="7"/>
    </row>
    <row r="718">
      <c r="B718" s="6"/>
      <c r="H718" s="7"/>
      <c r="I718" s="7"/>
    </row>
    <row r="719">
      <c r="B719" s="6"/>
      <c r="H719" s="7"/>
      <c r="I719" s="7"/>
    </row>
    <row r="720">
      <c r="B720" s="6"/>
      <c r="H720" s="7"/>
      <c r="I720" s="7"/>
    </row>
    <row r="721">
      <c r="B721" s="6"/>
      <c r="H721" s="7"/>
      <c r="I721" s="7"/>
    </row>
    <row r="722">
      <c r="B722" s="6"/>
      <c r="H722" s="7"/>
      <c r="I722" s="7"/>
    </row>
    <row r="723">
      <c r="B723" s="6"/>
      <c r="H723" s="7"/>
      <c r="I723" s="7"/>
    </row>
    <row r="724">
      <c r="B724" s="6"/>
      <c r="H724" s="7"/>
      <c r="I724" s="7"/>
    </row>
    <row r="725">
      <c r="B725" s="6"/>
      <c r="H725" s="7"/>
      <c r="I725" s="7"/>
    </row>
    <row r="726">
      <c r="B726" s="6"/>
      <c r="H726" s="7"/>
      <c r="I726" s="7"/>
    </row>
    <row r="727">
      <c r="B727" s="6"/>
      <c r="H727" s="7"/>
      <c r="I727" s="7"/>
    </row>
    <row r="728">
      <c r="B728" s="6"/>
      <c r="H728" s="7"/>
      <c r="I728" s="7"/>
    </row>
    <row r="729">
      <c r="B729" s="6"/>
      <c r="H729" s="7"/>
      <c r="I729" s="7"/>
    </row>
    <row r="730">
      <c r="B730" s="6"/>
      <c r="H730" s="7"/>
      <c r="I730" s="7"/>
    </row>
    <row r="731">
      <c r="B731" s="6"/>
      <c r="H731" s="7"/>
      <c r="I731" s="7"/>
    </row>
    <row r="732">
      <c r="B732" s="6"/>
      <c r="H732" s="7"/>
      <c r="I732" s="7"/>
    </row>
    <row r="733">
      <c r="B733" s="6"/>
      <c r="H733" s="7"/>
      <c r="I733" s="7"/>
    </row>
    <row r="734">
      <c r="B734" s="6"/>
      <c r="H734" s="7"/>
      <c r="I734" s="7"/>
    </row>
    <row r="735">
      <c r="B735" s="6"/>
      <c r="H735" s="7"/>
      <c r="I735" s="7"/>
    </row>
    <row r="736">
      <c r="B736" s="6"/>
      <c r="H736" s="7"/>
      <c r="I736" s="7"/>
    </row>
    <row r="737">
      <c r="B737" s="6"/>
      <c r="H737" s="7"/>
      <c r="I737" s="7"/>
    </row>
    <row r="738">
      <c r="B738" s="6"/>
      <c r="H738" s="7"/>
      <c r="I738" s="7"/>
    </row>
    <row r="739">
      <c r="B739" s="6"/>
      <c r="H739" s="7"/>
      <c r="I739" s="7"/>
    </row>
    <row r="740">
      <c r="B740" s="6"/>
      <c r="H740" s="7"/>
      <c r="I740" s="7"/>
    </row>
    <row r="741">
      <c r="B741" s="6"/>
      <c r="H741" s="7"/>
      <c r="I741" s="7"/>
    </row>
    <row r="742">
      <c r="B742" s="6"/>
      <c r="H742" s="7"/>
      <c r="I742" s="7"/>
    </row>
    <row r="743">
      <c r="B743" s="6"/>
      <c r="H743" s="7"/>
      <c r="I743" s="7"/>
    </row>
    <row r="744">
      <c r="B744" s="6"/>
      <c r="H744" s="7"/>
      <c r="I744" s="7"/>
    </row>
    <row r="745">
      <c r="B745" s="6"/>
      <c r="H745" s="7"/>
      <c r="I745" s="7"/>
    </row>
    <row r="746">
      <c r="B746" s="6"/>
      <c r="H746" s="7"/>
      <c r="I746" s="7"/>
    </row>
    <row r="747">
      <c r="B747" s="6"/>
      <c r="H747" s="7"/>
      <c r="I747" s="7"/>
    </row>
    <row r="748">
      <c r="B748" s="6"/>
      <c r="H748" s="7"/>
      <c r="I748" s="7"/>
    </row>
    <row r="749">
      <c r="B749" s="6"/>
      <c r="H749" s="7"/>
      <c r="I749" s="7"/>
    </row>
    <row r="750">
      <c r="B750" s="6"/>
      <c r="H750" s="7"/>
      <c r="I750" s="7"/>
    </row>
    <row r="751">
      <c r="B751" s="6"/>
      <c r="H751" s="7"/>
      <c r="I751" s="7"/>
    </row>
    <row r="752">
      <c r="B752" s="6"/>
      <c r="H752" s="7"/>
      <c r="I752" s="7"/>
    </row>
    <row r="753">
      <c r="B753" s="6"/>
      <c r="H753" s="7"/>
      <c r="I753" s="7"/>
    </row>
    <row r="754">
      <c r="B754" s="6"/>
      <c r="H754" s="7"/>
      <c r="I754" s="7"/>
    </row>
    <row r="755">
      <c r="B755" s="6"/>
      <c r="H755" s="7"/>
      <c r="I755" s="7"/>
    </row>
    <row r="756">
      <c r="B756" s="6"/>
      <c r="H756" s="7"/>
      <c r="I756" s="7"/>
    </row>
    <row r="757">
      <c r="B757" s="6"/>
      <c r="H757" s="7"/>
      <c r="I757" s="7"/>
    </row>
    <row r="758">
      <c r="B758" s="6"/>
      <c r="H758" s="7"/>
      <c r="I758" s="7"/>
    </row>
    <row r="759">
      <c r="B759" s="6"/>
      <c r="H759" s="7"/>
      <c r="I759" s="7"/>
    </row>
    <row r="760">
      <c r="B760" s="6"/>
      <c r="H760" s="7"/>
      <c r="I760" s="7"/>
    </row>
    <row r="761">
      <c r="B761" s="6"/>
      <c r="H761" s="7"/>
      <c r="I761" s="7"/>
    </row>
    <row r="762">
      <c r="B762" s="6"/>
      <c r="H762" s="7"/>
      <c r="I762" s="7"/>
    </row>
    <row r="763">
      <c r="B763" s="6"/>
      <c r="H763" s="7"/>
      <c r="I763" s="7"/>
    </row>
    <row r="764">
      <c r="B764" s="6"/>
      <c r="H764" s="7"/>
      <c r="I764" s="7"/>
    </row>
    <row r="765">
      <c r="B765" s="6"/>
      <c r="H765" s="7"/>
      <c r="I765" s="7"/>
    </row>
    <row r="766">
      <c r="B766" s="6"/>
      <c r="H766" s="7"/>
      <c r="I766" s="7"/>
    </row>
    <row r="767">
      <c r="B767" s="6"/>
      <c r="H767" s="7"/>
      <c r="I767" s="7"/>
    </row>
    <row r="768">
      <c r="B768" s="6"/>
      <c r="H768" s="7"/>
      <c r="I768" s="7"/>
    </row>
    <row r="769">
      <c r="B769" s="6"/>
      <c r="H769" s="7"/>
      <c r="I769" s="7"/>
    </row>
    <row r="770">
      <c r="B770" s="6"/>
      <c r="H770" s="7"/>
      <c r="I770" s="7"/>
    </row>
    <row r="771">
      <c r="B771" s="6"/>
      <c r="H771" s="7"/>
      <c r="I771" s="7"/>
    </row>
    <row r="772">
      <c r="B772" s="6"/>
      <c r="H772" s="7"/>
      <c r="I772" s="7"/>
    </row>
    <row r="773">
      <c r="B773" s="6"/>
      <c r="H773" s="7"/>
      <c r="I773" s="7"/>
    </row>
    <row r="774">
      <c r="B774" s="6"/>
      <c r="H774" s="7"/>
      <c r="I774" s="7"/>
    </row>
    <row r="775">
      <c r="B775" s="6"/>
      <c r="H775" s="7"/>
      <c r="I775" s="7"/>
    </row>
    <row r="776">
      <c r="B776" s="6"/>
      <c r="H776" s="7"/>
      <c r="I776" s="7"/>
    </row>
    <row r="777">
      <c r="B777" s="6"/>
      <c r="H777" s="7"/>
      <c r="I777" s="7"/>
    </row>
    <row r="778">
      <c r="B778" s="6"/>
      <c r="H778" s="7"/>
      <c r="I778" s="7"/>
    </row>
    <row r="779">
      <c r="B779" s="6"/>
      <c r="H779" s="7"/>
      <c r="I779" s="7"/>
    </row>
    <row r="780">
      <c r="B780" s="6"/>
      <c r="H780" s="7"/>
      <c r="I780" s="7"/>
    </row>
    <row r="781">
      <c r="B781" s="6"/>
      <c r="H781" s="7"/>
      <c r="I781" s="7"/>
    </row>
    <row r="782">
      <c r="B782" s="6"/>
      <c r="H782" s="7"/>
      <c r="I782" s="7"/>
    </row>
    <row r="783">
      <c r="B783" s="6"/>
      <c r="H783" s="7"/>
      <c r="I783" s="7"/>
    </row>
    <row r="784">
      <c r="B784" s="6"/>
      <c r="H784" s="7"/>
      <c r="I784" s="7"/>
    </row>
    <row r="785">
      <c r="B785" s="6"/>
      <c r="H785" s="7"/>
      <c r="I785" s="7"/>
    </row>
    <row r="786">
      <c r="B786" s="6"/>
      <c r="H786" s="7"/>
      <c r="I786" s="7"/>
    </row>
    <row r="787">
      <c r="B787" s="6"/>
      <c r="H787" s="7"/>
      <c r="I787" s="7"/>
    </row>
    <row r="788">
      <c r="B788" s="6"/>
      <c r="H788" s="7"/>
      <c r="I788" s="7"/>
    </row>
    <row r="789">
      <c r="B789" s="6"/>
      <c r="H789" s="7"/>
      <c r="I789" s="7"/>
    </row>
    <row r="790">
      <c r="B790" s="6"/>
      <c r="H790" s="7"/>
      <c r="I790" s="7"/>
    </row>
    <row r="791">
      <c r="B791" s="6"/>
      <c r="H791" s="7"/>
      <c r="I791" s="7"/>
    </row>
    <row r="792">
      <c r="B792" s="6"/>
      <c r="H792" s="7"/>
      <c r="I792" s="7"/>
    </row>
    <row r="793">
      <c r="B793" s="6"/>
      <c r="H793" s="7"/>
      <c r="I793" s="7"/>
    </row>
    <row r="794">
      <c r="B794" s="6"/>
      <c r="H794" s="7"/>
      <c r="I794" s="7"/>
    </row>
    <row r="795">
      <c r="B795" s="6"/>
      <c r="H795" s="7"/>
      <c r="I795" s="7"/>
    </row>
    <row r="796">
      <c r="B796" s="6"/>
      <c r="H796" s="7"/>
      <c r="I796" s="7"/>
    </row>
    <row r="797">
      <c r="B797" s="6"/>
      <c r="H797" s="7"/>
      <c r="I797" s="7"/>
    </row>
    <row r="798">
      <c r="B798" s="6"/>
      <c r="H798" s="7"/>
      <c r="I798" s="7"/>
    </row>
    <row r="799">
      <c r="B799" s="6"/>
      <c r="H799" s="7"/>
      <c r="I799" s="7"/>
    </row>
    <row r="800">
      <c r="B800" s="6"/>
      <c r="H800" s="7"/>
      <c r="I800" s="7"/>
    </row>
    <row r="801">
      <c r="B801" s="6"/>
      <c r="H801" s="7"/>
      <c r="I801" s="7"/>
    </row>
    <row r="802">
      <c r="B802" s="6"/>
      <c r="H802" s="7"/>
      <c r="I802" s="7"/>
    </row>
    <row r="803">
      <c r="B803" s="6"/>
      <c r="H803" s="7"/>
      <c r="I803" s="7"/>
    </row>
    <row r="804">
      <c r="B804" s="6"/>
      <c r="H804" s="7"/>
      <c r="I804" s="7"/>
    </row>
    <row r="805">
      <c r="B805" s="6"/>
      <c r="H805" s="7"/>
      <c r="I805" s="7"/>
    </row>
    <row r="806">
      <c r="B806" s="6"/>
      <c r="H806" s="7"/>
      <c r="I806" s="7"/>
    </row>
    <row r="807">
      <c r="B807" s="6"/>
      <c r="H807" s="7"/>
      <c r="I807" s="7"/>
    </row>
    <row r="808">
      <c r="B808" s="6"/>
      <c r="H808" s="7"/>
      <c r="I808" s="7"/>
    </row>
    <row r="809">
      <c r="B809" s="6"/>
      <c r="H809" s="7"/>
      <c r="I809" s="7"/>
    </row>
    <row r="810">
      <c r="B810" s="6"/>
      <c r="H810" s="7"/>
      <c r="I810" s="7"/>
    </row>
    <row r="811">
      <c r="B811" s="6"/>
      <c r="H811" s="7"/>
      <c r="I811" s="7"/>
    </row>
    <row r="812">
      <c r="B812" s="6"/>
      <c r="H812" s="7"/>
      <c r="I812" s="7"/>
    </row>
    <row r="813">
      <c r="B813" s="6"/>
      <c r="H813" s="7"/>
      <c r="I813" s="7"/>
    </row>
    <row r="814">
      <c r="B814" s="6"/>
      <c r="H814" s="7"/>
      <c r="I814" s="7"/>
    </row>
    <row r="815">
      <c r="B815" s="6"/>
      <c r="H815" s="7"/>
      <c r="I815" s="7"/>
    </row>
    <row r="816">
      <c r="B816" s="6"/>
      <c r="H816" s="7"/>
      <c r="I816" s="7"/>
    </row>
    <row r="817">
      <c r="B817" s="6"/>
      <c r="H817" s="7"/>
      <c r="I817" s="7"/>
    </row>
    <row r="818">
      <c r="B818" s="6"/>
      <c r="H818" s="7"/>
      <c r="I818" s="7"/>
    </row>
    <row r="819">
      <c r="B819" s="6"/>
      <c r="H819" s="7"/>
      <c r="I819" s="7"/>
    </row>
    <row r="820">
      <c r="B820" s="6"/>
      <c r="H820" s="7"/>
      <c r="I820" s="7"/>
    </row>
    <row r="821">
      <c r="B821" s="6"/>
      <c r="H821" s="7"/>
      <c r="I821" s="7"/>
    </row>
    <row r="822">
      <c r="B822" s="6"/>
      <c r="H822" s="7"/>
      <c r="I822" s="7"/>
    </row>
    <row r="823">
      <c r="B823" s="6"/>
      <c r="H823" s="7"/>
      <c r="I823" s="7"/>
    </row>
    <row r="824">
      <c r="B824" s="6"/>
      <c r="H824" s="7"/>
      <c r="I824" s="7"/>
    </row>
    <row r="825">
      <c r="B825" s="6"/>
      <c r="H825" s="7"/>
      <c r="I825" s="7"/>
    </row>
    <row r="826">
      <c r="B826" s="6"/>
      <c r="H826" s="7"/>
      <c r="I826" s="7"/>
    </row>
    <row r="827">
      <c r="B827" s="6"/>
      <c r="H827" s="7"/>
      <c r="I827" s="7"/>
    </row>
    <row r="828">
      <c r="B828" s="6"/>
      <c r="H828" s="7"/>
      <c r="I828" s="7"/>
    </row>
    <row r="829">
      <c r="B829" s="6"/>
      <c r="H829" s="7"/>
      <c r="I829" s="7"/>
    </row>
    <row r="830">
      <c r="B830" s="6"/>
      <c r="H830" s="7"/>
      <c r="I830" s="7"/>
    </row>
    <row r="831">
      <c r="B831" s="6"/>
      <c r="H831" s="7"/>
      <c r="I831" s="7"/>
    </row>
    <row r="832">
      <c r="B832" s="6"/>
      <c r="H832" s="7"/>
      <c r="I832" s="7"/>
    </row>
    <row r="833">
      <c r="B833" s="6"/>
      <c r="H833" s="7"/>
      <c r="I833" s="7"/>
    </row>
    <row r="834">
      <c r="B834" s="6"/>
      <c r="H834" s="7"/>
      <c r="I834" s="7"/>
    </row>
    <row r="835">
      <c r="B835" s="6"/>
      <c r="H835" s="7"/>
      <c r="I835" s="7"/>
    </row>
    <row r="836">
      <c r="B836" s="6"/>
      <c r="H836" s="7"/>
      <c r="I836" s="7"/>
    </row>
    <row r="837">
      <c r="B837" s="6"/>
      <c r="H837" s="7"/>
      <c r="I837" s="7"/>
    </row>
    <row r="838">
      <c r="B838" s="6"/>
      <c r="H838" s="7"/>
      <c r="I838" s="7"/>
    </row>
    <row r="839">
      <c r="B839" s="6"/>
      <c r="H839" s="7"/>
      <c r="I839" s="7"/>
    </row>
    <row r="840">
      <c r="B840" s="6"/>
      <c r="H840" s="7"/>
      <c r="I840" s="7"/>
    </row>
    <row r="841">
      <c r="B841" s="6"/>
      <c r="H841" s="7"/>
      <c r="I841" s="7"/>
    </row>
    <row r="842">
      <c r="B842" s="6"/>
      <c r="H842" s="7"/>
      <c r="I842" s="7"/>
    </row>
    <row r="843">
      <c r="B843" s="6"/>
      <c r="H843" s="7"/>
      <c r="I843" s="7"/>
    </row>
    <row r="844">
      <c r="B844" s="6"/>
      <c r="H844" s="7"/>
      <c r="I844" s="7"/>
    </row>
    <row r="845">
      <c r="B845" s="6"/>
      <c r="H845" s="7"/>
      <c r="I845" s="7"/>
    </row>
    <row r="846">
      <c r="B846" s="6"/>
      <c r="H846" s="7"/>
      <c r="I846" s="7"/>
    </row>
    <row r="847">
      <c r="B847" s="6"/>
      <c r="H847" s="7"/>
      <c r="I847" s="7"/>
    </row>
    <row r="848">
      <c r="B848" s="6"/>
      <c r="H848" s="7"/>
      <c r="I848" s="7"/>
    </row>
    <row r="849">
      <c r="B849" s="6"/>
      <c r="H849" s="7"/>
      <c r="I849" s="7"/>
    </row>
    <row r="850">
      <c r="B850" s="6"/>
      <c r="H850" s="7"/>
      <c r="I850" s="7"/>
    </row>
    <row r="851">
      <c r="B851" s="6"/>
      <c r="H851" s="7"/>
      <c r="I851" s="7"/>
    </row>
    <row r="852">
      <c r="B852" s="6"/>
      <c r="H852" s="7"/>
      <c r="I852" s="7"/>
    </row>
    <row r="853">
      <c r="B853" s="6"/>
      <c r="H853" s="7"/>
      <c r="I853" s="7"/>
    </row>
    <row r="854">
      <c r="B854" s="6"/>
      <c r="H854" s="7"/>
      <c r="I854" s="7"/>
    </row>
    <row r="855">
      <c r="B855" s="6"/>
      <c r="H855" s="7"/>
      <c r="I855" s="7"/>
    </row>
    <row r="856">
      <c r="B856" s="6"/>
      <c r="H856" s="7"/>
      <c r="I856" s="7"/>
    </row>
    <row r="857">
      <c r="B857" s="6"/>
      <c r="H857" s="7"/>
      <c r="I857" s="7"/>
    </row>
    <row r="858">
      <c r="B858" s="6"/>
      <c r="H858" s="7"/>
      <c r="I858" s="7"/>
    </row>
    <row r="859">
      <c r="B859" s="6"/>
      <c r="H859" s="7"/>
      <c r="I859" s="7"/>
    </row>
    <row r="860">
      <c r="B860" s="6"/>
      <c r="H860" s="7"/>
      <c r="I860" s="7"/>
    </row>
    <row r="861">
      <c r="B861" s="6"/>
      <c r="H861" s="7"/>
      <c r="I861" s="7"/>
    </row>
    <row r="862">
      <c r="B862" s="6"/>
      <c r="H862" s="7"/>
      <c r="I862" s="7"/>
    </row>
    <row r="863">
      <c r="B863" s="6"/>
      <c r="H863" s="7"/>
      <c r="I863" s="7"/>
    </row>
    <row r="864">
      <c r="B864" s="6"/>
      <c r="H864" s="7"/>
      <c r="I864" s="7"/>
    </row>
    <row r="865">
      <c r="B865" s="6"/>
      <c r="H865" s="7"/>
      <c r="I865" s="7"/>
    </row>
    <row r="866">
      <c r="B866" s="6"/>
      <c r="H866" s="7"/>
      <c r="I866" s="7"/>
    </row>
    <row r="867">
      <c r="B867" s="6"/>
      <c r="H867" s="7"/>
      <c r="I867" s="7"/>
    </row>
    <row r="868">
      <c r="B868" s="6"/>
      <c r="H868" s="7"/>
      <c r="I868" s="7"/>
    </row>
    <row r="869">
      <c r="B869" s="6"/>
      <c r="H869" s="7"/>
      <c r="I869" s="7"/>
    </row>
    <row r="870">
      <c r="B870" s="6"/>
      <c r="H870" s="7"/>
      <c r="I870" s="7"/>
    </row>
    <row r="871">
      <c r="B871" s="6"/>
      <c r="H871" s="7"/>
      <c r="I871" s="7"/>
    </row>
    <row r="872">
      <c r="B872" s="6"/>
      <c r="H872" s="7"/>
      <c r="I872" s="7"/>
    </row>
    <row r="873">
      <c r="B873" s="6"/>
      <c r="H873" s="7"/>
      <c r="I873" s="7"/>
    </row>
    <row r="874">
      <c r="B874" s="6"/>
      <c r="H874" s="7"/>
      <c r="I874" s="7"/>
    </row>
    <row r="875">
      <c r="B875" s="6"/>
      <c r="H875" s="7"/>
      <c r="I875" s="7"/>
    </row>
    <row r="876">
      <c r="B876" s="6"/>
      <c r="H876" s="7"/>
      <c r="I876" s="7"/>
    </row>
    <row r="877">
      <c r="B877" s="6"/>
      <c r="H877" s="7"/>
      <c r="I877" s="7"/>
    </row>
    <row r="878">
      <c r="B878" s="6"/>
      <c r="H878" s="7"/>
      <c r="I878" s="7"/>
    </row>
    <row r="879">
      <c r="B879" s="6"/>
      <c r="H879" s="7"/>
      <c r="I879" s="7"/>
    </row>
    <row r="880">
      <c r="B880" s="6"/>
      <c r="H880" s="7"/>
      <c r="I880" s="7"/>
    </row>
    <row r="881">
      <c r="B881" s="6"/>
      <c r="H881" s="7"/>
      <c r="I881" s="7"/>
    </row>
    <row r="882">
      <c r="B882" s="6"/>
      <c r="H882" s="7"/>
      <c r="I882" s="7"/>
    </row>
    <row r="883">
      <c r="B883" s="6"/>
      <c r="H883" s="7"/>
      <c r="I883" s="7"/>
    </row>
    <row r="884">
      <c r="B884" s="6"/>
      <c r="H884" s="7"/>
      <c r="I884" s="7"/>
    </row>
    <row r="885">
      <c r="B885" s="6"/>
      <c r="H885" s="7"/>
      <c r="I885" s="7"/>
    </row>
    <row r="886">
      <c r="B886" s="6"/>
      <c r="H886" s="7"/>
      <c r="I886" s="7"/>
    </row>
    <row r="887">
      <c r="B887" s="6"/>
      <c r="H887" s="7"/>
      <c r="I887" s="7"/>
    </row>
    <row r="888">
      <c r="B888" s="6"/>
      <c r="H888" s="7"/>
      <c r="I888" s="7"/>
    </row>
    <row r="889">
      <c r="B889" s="6"/>
      <c r="H889" s="7"/>
      <c r="I889" s="7"/>
    </row>
    <row r="890">
      <c r="B890" s="6"/>
      <c r="H890" s="7"/>
      <c r="I890" s="7"/>
    </row>
    <row r="891">
      <c r="B891" s="6"/>
      <c r="H891" s="7"/>
      <c r="I891" s="7"/>
    </row>
    <row r="892">
      <c r="B892" s="6"/>
      <c r="H892" s="7"/>
      <c r="I892" s="7"/>
    </row>
    <row r="893">
      <c r="B893" s="6"/>
      <c r="H893" s="7"/>
      <c r="I893" s="7"/>
    </row>
    <row r="894">
      <c r="B894" s="6"/>
      <c r="H894" s="7"/>
      <c r="I894" s="7"/>
    </row>
    <row r="895">
      <c r="B895" s="6"/>
      <c r="H895" s="7"/>
      <c r="I895" s="7"/>
    </row>
    <row r="896">
      <c r="B896" s="6"/>
      <c r="H896" s="7"/>
      <c r="I896" s="7"/>
    </row>
    <row r="897">
      <c r="B897" s="6"/>
      <c r="H897" s="7"/>
      <c r="I897" s="7"/>
    </row>
    <row r="898">
      <c r="B898" s="6"/>
      <c r="H898" s="7"/>
      <c r="I898" s="7"/>
    </row>
    <row r="899">
      <c r="B899" s="6"/>
      <c r="H899" s="7"/>
      <c r="I899" s="7"/>
    </row>
    <row r="900">
      <c r="B900" s="6"/>
      <c r="H900" s="7"/>
      <c r="I900" s="7"/>
    </row>
    <row r="901">
      <c r="B901" s="6"/>
      <c r="H901" s="7"/>
      <c r="I901" s="7"/>
    </row>
    <row r="902">
      <c r="B902" s="6"/>
      <c r="H902" s="7"/>
      <c r="I902" s="7"/>
    </row>
    <row r="903">
      <c r="B903" s="6"/>
      <c r="H903" s="7"/>
      <c r="I903" s="7"/>
    </row>
    <row r="904">
      <c r="B904" s="6"/>
      <c r="H904" s="7"/>
      <c r="I904" s="7"/>
    </row>
    <row r="905">
      <c r="B905" s="6"/>
      <c r="H905" s="7"/>
      <c r="I905" s="7"/>
    </row>
    <row r="906">
      <c r="B906" s="6"/>
      <c r="H906" s="7"/>
      <c r="I906" s="7"/>
    </row>
    <row r="907">
      <c r="B907" s="6"/>
      <c r="H907" s="7"/>
      <c r="I907" s="7"/>
    </row>
    <row r="908">
      <c r="B908" s="6"/>
      <c r="H908" s="7"/>
      <c r="I908" s="7"/>
    </row>
    <row r="909">
      <c r="B909" s="6"/>
      <c r="H909" s="7"/>
      <c r="I909" s="7"/>
    </row>
    <row r="910">
      <c r="B910" s="6"/>
      <c r="H910" s="7"/>
      <c r="I910" s="7"/>
    </row>
    <row r="911">
      <c r="B911" s="6"/>
      <c r="H911" s="7"/>
      <c r="I911" s="7"/>
    </row>
    <row r="912">
      <c r="B912" s="6"/>
      <c r="H912" s="7"/>
      <c r="I912" s="7"/>
    </row>
    <row r="913">
      <c r="B913" s="6"/>
      <c r="H913" s="7"/>
      <c r="I913" s="7"/>
    </row>
    <row r="914">
      <c r="B914" s="6"/>
      <c r="H914" s="7"/>
      <c r="I914" s="7"/>
    </row>
    <row r="915">
      <c r="B915" s="6"/>
      <c r="H915" s="7"/>
      <c r="I915" s="7"/>
    </row>
    <row r="916">
      <c r="B916" s="6"/>
      <c r="H916" s="7"/>
      <c r="I916" s="7"/>
    </row>
    <row r="917">
      <c r="B917" s="6"/>
      <c r="H917" s="7"/>
      <c r="I917" s="7"/>
    </row>
    <row r="918">
      <c r="B918" s="6"/>
      <c r="H918" s="7"/>
      <c r="I918" s="7"/>
    </row>
    <row r="919">
      <c r="B919" s="6"/>
      <c r="H919" s="7"/>
      <c r="I919" s="7"/>
    </row>
    <row r="920">
      <c r="B920" s="6"/>
      <c r="H920" s="7"/>
      <c r="I920" s="7"/>
    </row>
    <row r="921">
      <c r="B921" s="6"/>
      <c r="H921" s="7"/>
      <c r="I921" s="7"/>
    </row>
    <row r="922">
      <c r="B922" s="6"/>
      <c r="H922" s="7"/>
      <c r="I922" s="7"/>
    </row>
    <row r="923">
      <c r="B923" s="6"/>
      <c r="H923" s="7"/>
      <c r="I923" s="7"/>
    </row>
    <row r="924">
      <c r="B924" s="6"/>
      <c r="H924" s="7"/>
      <c r="I924" s="7"/>
    </row>
    <row r="925">
      <c r="B925" s="6"/>
      <c r="H925" s="7"/>
      <c r="I925" s="7"/>
    </row>
    <row r="926">
      <c r="B926" s="6"/>
      <c r="H926" s="7"/>
      <c r="I926" s="7"/>
    </row>
    <row r="927">
      <c r="B927" s="6"/>
      <c r="H927" s="7"/>
      <c r="I927" s="7"/>
    </row>
    <row r="928">
      <c r="B928" s="6"/>
      <c r="H928" s="7"/>
      <c r="I928" s="7"/>
    </row>
    <row r="929">
      <c r="B929" s="6"/>
      <c r="H929" s="7"/>
      <c r="I929" s="7"/>
    </row>
    <row r="930">
      <c r="B930" s="6"/>
      <c r="H930" s="7"/>
      <c r="I930" s="7"/>
    </row>
    <row r="931">
      <c r="B931" s="6"/>
      <c r="H931" s="7"/>
      <c r="I931" s="7"/>
    </row>
    <row r="932">
      <c r="B932" s="6"/>
      <c r="H932" s="7"/>
      <c r="I932" s="7"/>
    </row>
    <row r="933">
      <c r="B933" s="6"/>
      <c r="H933" s="7"/>
      <c r="I933" s="7"/>
    </row>
    <row r="934">
      <c r="B934" s="6"/>
      <c r="H934" s="7"/>
      <c r="I934" s="7"/>
    </row>
    <row r="935">
      <c r="B935" s="6"/>
      <c r="H935" s="7"/>
      <c r="I935" s="7"/>
    </row>
    <row r="936">
      <c r="B936" s="6"/>
      <c r="H936" s="7"/>
      <c r="I936" s="7"/>
    </row>
    <row r="937">
      <c r="B937" s="6"/>
      <c r="H937" s="7"/>
      <c r="I937" s="7"/>
    </row>
    <row r="938">
      <c r="B938" s="6"/>
      <c r="H938" s="7"/>
      <c r="I938" s="7"/>
    </row>
    <row r="939">
      <c r="B939" s="6"/>
      <c r="H939" s="7"/>
      <c r="I939" s="7"/>
    </row>
    <row r="940">
      <c r="B940" s="6"/>
      <c r="H940" s="7"/>
      <c r="I940" s="7"/>
    </row>
    <row r="941">
      <c r="B941" s="6"/>
      <c r="H941" s="7"/>
      <c r="I941" s="7"/>
    </row>
    <row r="942">
      <c r="B942" s="6"/>
      <c r="H942" s="7"/>
      <c r="I942" s="7"/>
    </row>
    <row r="943">
      <c r="B943" s="6"/>
      <c r="H943" s="7"/>
      <c r="I943" s="7"/>
    </row>
    <row r="944">
      <c r="B944" s="6"/>
      <c r="H944" s="7"/>
      <c r="I944" s="7"/>
    </row>
    <row r="945">
      <c r="B945" s="6"/>
      <c r="H945" s="7"/>
      <c r="I945" s="7"/>
    </row>
    <row r="946">
      <c r="B946" s="6"/>
      <c r="H946" s="7"/>
      <c r="I946" s="7"/>
    </row>
    <row r="947">
      <c r="B947" s="6"/>
      <c r="H947" s="7"/>
      <c r="I947" s="7"/>
    </row>
    <row r="948">
      <c r="B948" s="6"/>
      <c r="H948" s="7"/>
      <c r="I948" s="7"/>
    </row>
    <row r="949">
      <c r="B949" s="6"/>
      <c r="H949" s="7"/>
      <c r="I949" s="7"/>
    </row>
    <row r="950">
      <c r="B950" s="6"/>
      <c r="H950" s="7"/>
      <c r="I950" s="7"/>
    </row>
    <row r="951">
      <c r="B951" s="6"/>
      <c r="H951" s="7"/>
      <c r="I951" s="7"/>
    </row>
    <row r="952">
      <c r="B952" s="6"/>
      <c r="H952" s="7"/>
      <c r="I952" s="7"/>
    </row>
    <row r="953">
      <c r="B953" s="6"/>
      <c r="H953" s="7"/>
      <c r="I953" s="7"/>
    </row>
    <row r="954">
      <c r="B954" s="6"/>
      <c r="H954" s="7"/>
      <c r="I954" s="7"/>
    </row>
    <row r="955">
      <c r="B955" s="6"/>
      <c r="H955" s="7"/>
      <c r="I955" s="7"/>
    </row>
    <row r="956">
      <c r="B956" s="6"/>
      <c r="H956" s="7"/>
      <c r="I956" s="7"/>
    </row>
    <row r="957">
      <c r="B957" s="6"/>
      <c r="H957" s="7"/>
      <c r="I957" s="7"/>
    </row>
    <row r="958">
      <c r="B958" s="6"/>
      <c r="H958" s="7"/>
      <c r="I958" s="7"/>
    </row>
    <row r="959">
      <c r="B959" s="6"/>
      <c r="H959" s="7"/>
      <c r="I959" s="7"/>
    </row>
    <row r="960">
      <c r="B960" s="6"/>
      <c r="H960" s="7"/>
      <c r="I960" s="7"/>
    </row>
    <row r="961">
      <c r="B961" s="6"/>
      <c r="H961" s="7"/>
      <c r="I961" s="7"/>
    </row>
    <row r="962">
      <c r="B962" s="6"/>
      <c r="H962" s="7"/>
      <c r="I962" s="7"/>
    </row>
    <row r="963">
      <c r="B963" s="6"/>
      <c r="H963" s="7"/>
      <c r="I963" s="7"/>
    </row>
    <row r="964">
      <c r="B964" s="6"/>
      <c r="H964" s="7"/>
      <c r="I964" s="7"/>
    </row>
    <row r="965">
      <c r="B965" s="6"/>
      <c r="H965" s="7"/>
      <c r="I965" s="7"/>
    </row>
    <row r="966">
      <c r="B966" s="6"/>
      <c r="H966" s="7"/>
      <c r="I966" s="7"/>
    </row>
    <row r="967">
      <c r="B967" s="6"/>
      <c r="H967" s="7"/>
      <c r="I967" s="7"/>
    </row>
    <row r="968">
      <c r="B968" s="6"/>
      <c r="H968" s="7"/>
      <c r="I968" s="7"/>
    </row>
    <row r="969">
      <c r="B969" s="6"/>
      <c r="H969" s="7"/>
      <c r="I969" s="7"/>
    </row>
    <row r="970">
      <c r="B970" s="6"/>
      <c r="H970" s="7"/>
      <c r="I970" s="7"/>
    </row>
    <row r="971">
      <c r="B971" s="6"/>
      <c r="H971" s="7"/>
      <c r="I971" s="7"/>
    </row>
    <row r="972">
      <c r="B972" s="6"/>
      <c r="H972" s="7"/>
      <c r="I972" s="7"/>
    </row>
    <row r="973">
      <c r="B973" s="6"/>
      <c r="H973" s="7"/>
      <c r="I973" s="7"/>
    </row>
    <row r="974">
      <c r="B974" s="6"/>
      <c r="H974" s="7"/>
      <c r="I974" s="7"/>
    </row>
    <row r="975">
      <c r="B975" s="6"/>
      <c r="H975" s="7"/>
      <c r="I975" s="7"/>
    </row>
    <row r="976">
      <c r="B976" s="6"/>
      <c r="H976" s="7"/>
      <c r="I976" s="7"/>
    </row>
    <row r="977">
      <c r="B977" s="6"/>
      <c r="H977" s="7"/>
      <c r="I977" s="7"/>
    </row>
    <row r="978">
      <c r="B978" s="6"/>
      <c r="H978" s="7"/>
      <c r="I978" s="7"/>
    </row>
    <row r="979">
      <c r="B979" s="6"/>
      <c r="H979" s="7"/>
      <c r="I979" s="7"/>
    </row>
    <row r="980">
      <c r="B980" s="6"/>
      <c r="H980" s="7"/>
      <c r="I980" s="7"/>
    </row>
    <row r="981">
      <c r="B981" s="6"/>
      <c r="H981" s="7"/>
      <c r="I981" s="7"/>
    </row>
    <row r="982">
      <c r="B982" s="6"/>
      <c r="H982" s="7"/>
      <c r="I982" s="7"/>
    </row>
    <row r="983">
      <c r="B983" s="6"/>
      <c r="H983" s="7"/>
      <c r="I983" s="7"/>
    </row>
    <row r="984">
      <c r="B984" s="6"/>
      <c r="H984" s="7"/>
      <c r="I984" s="7"/>
    </row>
    <row r="985">
      <c r="B985" s="6"/>
      <c r="H985" s="7"/>
      <c r="I985" s="7"/>
    </row>
    <row r="986">
      <c r="B986" s="6"/>
      <c r="H986" s="7"/>
      <c r="I986" s="7"/>
    </row>
    <row r="987">
      <c r="B987" s="6"/>
      <c r="H987" s="7"/>
      <c r="I987" s="7"/>
    </row>
    <row r="988">
      <c r="B988" s="6"/>
      <c r="H988" s="7"/>
      <c r="I988" s="7"/>
    </row>
    <row r="989">
      <c r="B989" s="6"/>
      <c r="H989" s="7"/>
      <c r="I989" s="7"/>
    </row>
    <row r="990">
      <c r="B990" s="6"/>
      <c r="H990" s="7"/>
      <c r="I990" s="7"/>
    </row>
    <row r="991">
      <c r="B991" s="6"/>
      <c r="H991" s="7"/>
      <c r="I991" s="7"/>
    </row>
    <row r="992">
      <c r="B992" s="6"/>
      <c r="H992" s="7"/>
      <c r="I992" s="7"/>
    </row>
    <row r="993">
      <c r="B993" s="6"/>
      <c r="H993" s="7"/>
      <c r="I993" s="7"/>
    </row>
    <row r="994">
      <c r="B994" s="6"/>
      <c r="H994" s="7"/>
      <c r="I994" s="7"/>
    </row>
    <row r="995">
      <c r="B995" s="6"/>
      <c r="H995" s="7"/>
      <c r="I995" s="7"/>
    </row>
    <row r="996">
      <c r="B996" s="6"/>
      <c r="H996" s="7"/>
      <c r="I996" s="7"/>
    </row>
    <row r="997">
      <c r="B997" s="6"/>
      <c r="H997" s="7"/>
      <c r="I997" s="7"/>
    </row>
    <row r="998">
      <c r="B998" s="6"/>
      <c r="H998" s="7"/>
      <c r="I998" s="7"/>
    </row>
    <row r="999">
      <c r="B999" s="6"/>
      <c r="H999" s="7"/>
      <c r="I999" s="7"/>
    </row>
    <row r="1000">
      <c r="B1000" s="6"/>
      <c r="H1000" s="7"/>
      <c r="I1000" s="7"/>
    </row>
    <row r="1001">
      <c r="B1001" s="6"/>
      <c r="H1001" s="7"/>
      <c r="I1001" s="7"/>
    </row>
    <row r="1002">
      <c r="B1002" s="6"/>
      <c r="H1002" s="7"/>
      <c r="I1002" s="7"/>
    </row>
  </sheetData>
  <autoFilter ref="$A$2:$Z$474">
    <sortState ref="A2:Z474">
      <sortCondition ref="B2:B474"/>
    </sortState>
  </autoFilter>
  <drawing r:id="rId1"/>
</worksheet>
</file>